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°B" sheetId="1" r:id="rId4"/>
    <sheet state="visible" name="Hoja1" sheetId="2" r:id="rId5"/>
  </sheets>
  <definedNames/>
  <calcPr/>
  <extLst>
    <ext uri="GoogleSheetsCustomDataVersion2">
      <go:sheetsCustomData xmlns:go="http://customooxmlschemas.google.com/" r:id="rId6" roundtripDataChecksum="+hoY20TULrUZPEiFfcxpU1M24mBWFsyLv8b6vQzD5Q4="/>
    </ext>
  </extLst>
</workbook>
</file>

<file path=xl/sharedStrings.xml><?xml version="1.0" encoding="utf-8"?>
<sst xmlns="http://schemas.openxmlformats.org/spreadsheetml/2006/main" count="123" uniqueCount="78">
  <si>
    <t>REGISTRO DE LA PRUEBA DE EVALUACIÓN DIAGNÓSTICA DEL ÁREA DE CIENCIA Y TECNOLOGÍA 2° SECUNDARIA</t>
  </si>
  <si>
    <t>INSTITUCIÓN EDUCATIVA:</t>
  </si>
  <si>
    <t>N°</t>
  </si>
  <si>
    <t>COMPETENCIAS</t>
  </si>
  <si>
    <t xml:space="preserve"> Indaga mediante métodos científicos para 
construir sus conocimientos.</t>
  </si>
  <si>
    <t>Explica el mundo físico basándose en 
conocimientos sobre los seres vivos, materia 
y energía, biodiversidad, tierra y universo.</t>
  </si>
  <si>
    <t>Diseña y construye soluciones tecnológicas 
para resolver problemas de su entorno.</t>
  </si>
  <si>
    <t>RESPUESTAS DE CADA ESTUDIANTE</t>
  </si>
  <si>
    <t>NIVEL DEL AREA</t>
  </si>
  <si>
    <t>CAPACIDADES</t>
  </si>
  <si>
    <t>Problematiza situaciones.</t>
  </si>
  <si>
    <t>Diseña estrategias para hacer indagación.</t>
  </si>
  <si>
    <t>Genera y registra datos e información.</t>
  </si>
  <si>
    <t>Analiza datos e información.</t>
  </si>
  <si>
    <t>Comprende y usa conocimientos sobre los 
seres vivos, materia y energía, biodiversidad, 
tierra y universo.</t>
  </si>
  <si>
    <t>Evalúa las implicancias del saber y del 
quehacer científico y tecnológico.</t>
  </si>
  <si>
    <t>Determina una alternativa de solución 
   tecnológica.</t>
  </si>
  <si>
    <t>Diseña la alternativa de solución  
   tecnológica.</t>
  </si>
  <si>
    <t xml:space="preserve"> Evalúa y comunica el funcionamiento de su  
   alternativa de solución tecnológica.</t>
  </si>
  <si>
    <t>CORRECTAS</t>
  </si>
  <si>
    <t>INCORRECTAS</t>
  </si>
  <si>
    <t>OMITIDAS</t>
  </si>
  <si>
    <t>Apellidos y Nombres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</si>
  <si>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</si>
  <si>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</si>
  <si>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</si>
  <si>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</si>
  <si>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</si>
  <si>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</si>
  <si>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</si>
  <si>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</si>
  <si>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</si>
  <si>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</si>
  <si>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</si>
  <si>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</si>
  <si>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</si>
  <si>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</si>
  <si>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</si>
  <si>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</si>
  <si>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</si>
  <si>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</si>
  <si>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</si>
  <si>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</si>
  <si>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ARONI IVALA, Chait Noemi</t>
  </si>
  <si>
    <t>BALDEÓN OLIVARES, Tatiana Mirely</t>
  </si>
  <si>
    <t>CAHUANA FLORES, Iván Dionisio</t>
  </si>
  <si>
    <t>CHAVEZ RAMOS, Medaly Bertha</t>
  </si>
  <si>
    <t>CONISLLA ARANGO, Luz Eliana</t>
  </si>
  <si>
    <t>CONISLLA QUISPE, Dayelin Sahory</t>
  </si>
  <si>
    <t>ESPINOZA MOZO, Abner Brian</t>
  </si>
  <si>
    <t>GARAVITO MELGAREJO, Sebastian Yossel</t>
  </si>
  <si>
    <t>HUAMANI ICHPAS, Joselyn Briguith</t>
  </si>
  <si>
    <t>HUAMANI QUISPE, Gueangel Yamil</t>
  </si>
  <si>
    <r>
      <rPr>
        <rFont val="Arial Narrow"/>
        <color theme="1"/>
        <sz val="11.0"/>
      </rPr>
      <t xml:space="preserve">HUAMANTUPA TORRES, </t>
    </r>
    <r>
      <rPr>
        <rFont val="Arial Narrow"/>
        <color theme="1"/>
        <sz val="9.0"/>
      </rPr>
      <t>Nayra Shadany</t>
    </r>
  </si>
  <si>
    <t>HUARCAYA MOZO, Keymi Karely</t>
  </si>
  <si>
    <t>HUARI CONISLLA, Fiorella Akemi</t>
  </si>
  <si>
    <t>OJEDA BUSTAMANTE, Amhye Ariana</t>
  </si>
  <si>
    <t>ROJAS VENTURA, Susan Thalia</t>
  </si>
  <si>
    <t>SANTIAGO YAURICASA, Asumi A.</t>
  </si>
  <si>
    <t xml:space="preserve"> </t>
  </si>
  <si>
    <t>VENTURA ROJAS, Jhean Franco</t>
  </si>
  <si>
    <t>VERA HILARY , Marc Neymar</t>
  </si>
  <si>
    <t>YAURICASA LUNA, Silvio</t>
  </si>
  <si>
    <t>RESUMEN DE RESPUESTAS DE AULA</t>
  </si>
  <si>
    <t>PARA LA DREH</t>
  </si>
  <si>
    <t>NIVEL DE AREA</t>
  </si>
  <si>
    <t>Logrado</t>
  </si>
  <si>
    <t>TOTAL</t>
  </si>
  <si>
    <t>Proceso</t>
  </si>
  <si>
    <t>Inicio</t>
  </si>
  <si>
    <t>Previo al Inicio</t>
  </si>
  <si>
    <t>ANÁLISIS POR ÍTEMS</t>
  </si>
  <si>
    <t>TOTAL DE EVALUADOS</t>
  </si>
  <si>
    <t>ANÁLISIS POR COMPETENCIA</t>
  </si>
  <si>
    <t>LEYENDA</t>
  </si>
  <si>
    <t>3 =</t>
  </si>
  <si>
    <t>1 =</t>
  </si>
  <si>
    <t>0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</si>
</sst>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23.0"/>
      <color theme="0"/>
      <name val="Arial"/>
    </font>
    <font/>
    <font>
      <sz val="12.0"/>
      <color theme="1"/>
      <name val="Arial"/>
    </font>
    <font>
      <b/>
      <sz val="16.0"/>
      <color theme="0"/>
      <name val="Arial"/>
    </font>
    <font>
      <b/>
      <sz val="12.0"/>
      <color theme="1"/>
      <name val="Arial"/>
    </font>
    <font>
      <b/>
      <sz val="12.0"/>
      <color theme="0"/>
      <name val="Arial"/>
    </font>
    <font>
      <b/>
      <sz val="14.0"/>
      <color theme="0"/>
      <name val="Arial"/>
    </font>
    <font>
      <sz val="11.0"/>
      <color theme="1"/>
      <name val="Arial Narrow"/>
    </font>
    <font>
      <b/>
      <sz val="20.0"/>
      <color theme="0"/>
      <name val="Arial"/>
    </font>
    <font>
      <sz val="16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2F5496"/>
        <bgColor rgb="FF2F5496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  <fill>
      <patternFill patternType="solid">
        <fgColor rgb="FF79FFB6"/>
        <bgColor rgb="FF79FFB6"/>
      </patternFill>
    </fill>
    <fill>
      <patternFill patternType="solid">
        <fgColor rgb="FFFFBDBD"/>
        <bgColor rgb="FFFFBDBD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124">
    <border/>
    <border>
      <left/>
      <top/>
      <bottom/>
    </border>
    <border>
      <top/>
      <bottom/>
    </border>
    <border>
      <right/>
      <top/>
      <bottom/>
    </border>
    <border>
      <left style="medium">
        <color rgb="FF002060"/>
      </left>
      <top style="medium">
        <color rgb="FF002060"/>
      </top>
    </border>
    <border>
      <left style="medium">
        <color rgb="FF002060"/>
      </left>
      <right/>
      <top style="medium">
        <color rgb="FF002060"/>
      </top>
      <bottom/>
    </border>
    <border>
      <left style="medium">
        <color rgb="FF002060"/>
      </left>
      <top style="medium">
        <color rgb="FF002060"/>
      </top>
      <bottom/>
    </border>
    <border>
      <top style="medium">
        <color rgb="FF002060"/>
      </top>
      <bottom/>
    </border>
    <border>
      <right/>
      <top style="medium">
        <color rgb="FF002060"/>
      </top>
      <bottom/>
    </border>
    <border>
      <left style="medium">
        <color rgb="FF000000"/>
      </left>
      <top style="medium">
        <color rgb="FF000000"/>
      </top>
      <bottom style="medium">
        <color rgb="FF002060"/>
      </bottom>
    </border>
    <border>
      <top style="medium">
        <color rgb="FF000000"/>
      </top>
      <bottom style="medium">
        <color rgb="FF002060"/>
      </bottom>
    </border>
    <border>
      <right/>
      <top style="medium">
        <color rgb="FF000000"/>
      </top>
      <bottom style="medium">
        <color rgb="FF00206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2060"/>
      </top>
      <bottom/>
    </border>
    <border>
      <right style="medium">
        <color rgb="FF002060"/>
      </right>
      <top style="medium">
        <color rgb="FF002060"/>
      </top>
      <bottom/>
    </border>
    <border>
      <left/>
      <right style="medium">
        <color rgb="FF002060"/>
      </right>
      <top style="medium">
        <color rgb="FF002060"/>
      </top>
    </border>
    <border>
      <left style="medium">
        <color rgb="FF002060"/>
      </left>
    </border>
    <border>
      <left style="medium">
        <color rgb="FF002060"/>
      </left>
      <right/>
      <top style="medium">
        <color rgb="FF002060"/>
      </top>
      <bottom style="medium">
        <color rgb="FF002060"/>
      </bottom>
    </border>
    <border>
      <left style="medium">
        <color rgb="FF002060"/>
      </left>
      <right style="thin">
        <color rgb="FF000000"/>
      </right>
      <top style="medium">
        <color rgb="FF002060"/>
      </top>
      <bottom style="medium">
        <color rgb="FF002060"/>
      </bottom>
    </border>
    <border>
      <left style="thin">
        <color rgb="FF000000"/>
      </left>
      <right style="thin">
        <color rgb="FF000000"/>
      </right>
      <top style="medium">
        <color rgb="FF002060"/>
      </top>
      <bottom style="medium">
        <color rgb="FF002060"/>
      </bottom>
    </border>
    <border>
      <left style="thin">
        <color rgb="FF000000"/>
      </left>
      <right/>
      <top style="medium">
        <color rgb="FF002060"/>
      </top>
      <bottom style="medium">
        <color rgb="FF002060"/>
      </bottom>
    </border>
    <border>
      <left style="medium">
        <color rgb="FF000000"/>
      </left>
      <right style="thin">
        <color rgb="FF000000"/>
      </right>
      <top style="medium">
        <color rgb="FF00206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2060"/>
      </top>
      <bottom style="medium">
        <color rgb="FF000000"/>
      </bottom>
    </border>
    <border>
      <left style="thin">
        <color rgb="FF000000"/>
      </left>
      <right/>
      <top style="medium">
        <color rgb="FF00206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medium">
        <color rgb="FF002060"/>
      </top>
    </border>
    <border>
      <left style="medium">
        <color rgb="FF002060"/>
      </left>
      <right style="medium">
        <color rgb="FF002060"/>
      </right>
      <top style="medium">
        <color rgb="FF002060"/>
      </top>
    </border>
    <border>
      <left style="medium">
        <color rgb="FF002060"/>
      </left>
      <right style="thin">
        <color rgb="FF000000"/>
      </right>
      <top style="medium">
        <color rgb="FF002060"/>
      </top>
    </border>
    <border>
      <left style="thin">
        <color rgb="FF000000"/>
      </left>
      <right style="medium">
        <color rgb="FF002060"/>
      </right>
      <top style="medium">
        <color rgb="FF002060"/>
      </top>
    </border>
    <border>
      <left/>
      <right style="medium">
        <color rgb="FF002060"/>
      </right>
    </border>
    <border>
      <left style="medium">
        <color rgb="FF00206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2060"/>
      </bottom>
    </border>
    <border>
      <left style="thin">
        <color rgb="FF000000"/>
      </left>
      <right style="thin">
        <color rgb="FF000000"/>
      </right>
      <top/>
      <bottom style="medium">
        <color rgb="FF002060"/>
      </bottom>
    </border>
    <border>
      <left style="thin">
        <color rgb="FF000000"/>
      </left>
      <right/>
      <top/>
      <bottom style="medium">
        <color rgb="FF002060"/>
      </bottom>
    </border>
    <border>
      <left style="medium">
        <color rgb="FF000000"/>
      </left>
      <right/>
      <top/>
      <bottom style="medium">
        <color rgb="FF002060"/>
      </bottom>
    </border>
    <border>
      <left style="thin">
        <color rgb="FF000000"/>
      </left>
      <right style="medium">
        <color rgb="FF000000"/>
      </right>
      <top/>
      <bottom style="medium">
        <color rgb="FF002060"/>
      </bottom>
    </border>
    <border>
      <left/>
      <right/>
      <bottom style="medium">
        <color rgb="FF002060"/>
      </bottom>
    </border>
    <border>
      <left style="medium">
        <color rgb="FF002060"/>
      </left>
      <right style="medium">
        <color rgb="FF002060"/>
      </right>
      <bottom style="medium">
        <color rgb="FF002060"/>
      </bottom>
    </border>
    <border>
      <left style="medium">
        <color rgb="FF002060"/>
      </left>
      <right style="thin">
        <color rgb="FF000000"/>
      </right>
      <bottom style="medium">
        <color rgb="FF002060"/>
      </bottom>
    </border>
    <border>
      <left style="thin">
        <color rgb="FF000000"/>
      </left>
      <right style="medium">
        <color rgb="FF002060"/>
      </right>
      <bottom style="medium">
        <color rgb="FF002060"/>
      </bottom>
    </border>
    <border>
      <left/>
      <right style="medium">
        <color rgb="FF002060"/>
      </right>
      <bottom/>
    </border>
    <border>
      <left style="medium">
        <color rgb="FF00206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2060"/>
      </left>
      <right style="thin">
        <color rgb="FF002060"/>
      </right>
      <top style="medium">
        <color rgb="FF002060"/>
      </top>
      <bottom style="thin">
        <color rgb="FF002060"/>
      </bottom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</border>
    <border>
      <left style="thin">
        <color rgb="FF002060"/>
      </left>
      <top style="medium">
        <color rgb="FF002060"/>
      </top>
      <bottom style="thin">
        <color rgb="FF002060"/>
      </bottom>
    </border>
    <border>
      <left style="medium">
        <color rgb="FF000000"/>
      </left>
      <right style="thin">
        <color rgb="FF002060"/>
      </right>
      <top style="medium">
        <color rgb="FF002060"/>
      </top>
      <bottom style="thin">
        <color rgb="FF002060"/>
      </bottom>
    </border>
    <border>
      <left style="medium">
        <color rgb="FF000000"/>
      </left>
      <top style="medium">
        <color rgb="FF002060"/>
      </top>
      <bottom style="thin">
        <color rgb="FF002060"/>
      </bottom>
    </border>
    <border>
      <left style="thin">
        <color rgb="FF002060"/>
      </left>
      <right style="medium">
        <color rgb="FF000000"/>
      </right>
      <top style="medium">
        <color rgb="FF002060"/>
      </top>
      <bottom style="thin">
        <color rgb="FF002060"/>
      </bottom>
    </border>
    <border>
      <top style="medium">
        <color rgb="FF002060"/>
      </top>
      <bottom style="thin">
        <color rgb="FF000000"/>
      </bottom>
    </border>
    <border>
      <left style="medium">
        <color rgb="FF002060"/>
      </left>
      <right style="medium">
        <color rgb="FF002060"/>
      </right>
      <top style="medium">
        <color rgb="FF002060"/>
      </top>
      <bottom style="thin">
        <color rgb="FF000000"/>
      </bottom>
    </border>
    <border>
      <right style="medium">
        <color rgb="FF002060"/>
      </right>
      <top style="medium">
        <color rgb="FF002060"/>
      </top>
      <bottom style="thin">
        <color rgb="FF000000"/>
      </bottom>
    </border>
    <border>
      <left style="medium">
        <color rgb="FF002060"/>
      </left>
      <right style="medium">
        <color rgb="FF00206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206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  <border>
      <left style="thin">
        <color rgb="FF002060"/>
      </left>
      <right/>
      <top style="thin">
        <color rgb="FF002060"/>
      </top>
      <bottom style="thin">
        <color rgb="FF002060"/>
      </bottom>
    </border>
    <border>
      <left style="medium">
        <color rgb="FF000000"/>
      </left>
      <right style="thin">
        <color rgb="FF002060"/>
      </right>
      <top style="thin">
        <color rgb="FF002060"/>
      </top>
      <bottom style="thin">
        <color rgb="FF002060"/>
      </bottom>
    </border>
    <border>
      <left style="medium">
        <color rgb="FF000000"/>
      </left>
      <right/>
      <top style="thin">
        <color rgb="FF002060"/>
      </top>
      <bottom style="thin">
        <color rgb="FF002060"/>
      </bottom>
    </border>
    <border>
      <left style="thin">
        <color rgb="FF002060"/>
      </left>
      <right style="medium">
        <color rgb="FF000000"/>
      </right>
      <top style="thin">
        <color rgb="FF002060"/>
      </top>
      <bottom style="thin">
        <color rgb="FF00206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2060"/>
      </left>
      <right style="medium">
        <color rgb="FF002060"/>
      </right>
      <top style="thin">
        <color rgb="FF000000"/>
      </top>
      <bottom style="thin">
        <color rgb="FF000000"/>
      </bottom>
    </border>
    <border>
      <left/>
      <right style="medium">
        <color rgb="FF00206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2060"/>
      </left>
      <top style="thin">
        <color rgb="FF002060"/>
      </top>
      <bottom style="thin">
        <color rgb="FF002060"/>
      </bottom>
    </border>
    <border>
      <left style="medium">
        <color rgb="FF000000"/>
      </left>
      <top style="thin">
        <color rgb="FF002060"/>
      </top>
      <bottom style="thin">
        <color rgb="FF002060"/>
      </bottom>
    </border>
    <border>
      <top style="thin">
        <color rgb="FF000000"/>
      </top>
      <bottom style="thin">
        <color rgb="FF000000"/>
      </bottom>
    </border>
    <border>
      <right style="medium">
        <color rgb="FF002060"/>
      </right>
      <top style="thin">
        <color rgb="FF000000"/>
      </top>
      <bottom style="thin">
        <color rgb="FF000000"/>
      </bottom>
    </border>
    <border>
      <left style="medium">
        <color rgb="FF002060"/>
      </left>
      <right/>
      <top style="thin">
        <color rgb="FF000000"/>
      </top>
      <bottom style="medium">
        <color rgb="FF002060"/>
      </bottom>
    </border>
    <border>
      <left style="medium">
        <color rgb="FF002060"/>
      </left>
      <right style="thin">
        <color rgb="FF002060"/>
      </right>
      <top style="thin">
        <color rgb="FF002060"/>
      </top>
      <bottom/>
    </border>
    <border>
      <left style="thin">
        <color rgb="FF002060"/>
      </left>
      <right style="thin">
        <color rgb="FF002060"/>
      </right>
      <top style="thin">
        <color rgb="FF002060"/>
      </top>
      <bottom/>
    </border>
    <border>
      <left style="thin">
        <color rgb="FF002060"/>
      </left>
      <right/>
      <top style="thin">
        <color rgb="FF002060"/>
      </top>
      <bottom/>
    </border>
    <border>
      <left style="medium">
        <color rgb="FF000000"/>
      </left>
      <right style="thin">
        <color rgb="FF002060"/>
      </right>
      <top style="thin">
        <color rgb="FF002060"/>
      </top>
      <bottom/>
    </border>
    <border>
      <left style="medium">
        <color rgb="FF000000"/>
      </left>
      <right/>
      <top style="thin">
        <color rgb="FF002060"/>
      </top>
      <bottom/>
    </border>
    <border>
      <left style="thin">
        <color rgb="FF002060"/>
      </left>
      <right style="medium">
        <color rgb="FF000000"/>
      </right>
      <top style="thin">
        <color rgb="FF002060"/>
      </top>
      <bottom/>
    </border>
    <border>
      <left/>
      <right/>
      <top style="thin">
        <color rgb="FF000000"/>
      </top>
      <bottom style="medium">
        <color rgb="FF002060"/>
      </bottom>
    </border>
    <border>
      <left style="medium">
        <color rgb="FF002060"/>
      </left>
      <right style="medium">
        <color rgb="FF002060"/>
      </right>
      <top style="thin">
        <color rgb="FF000000"/>
      </top>
      <bottom style="medium">
        <color rgb="FF002060"/>
      </bottom>
    </border>
    <border>
      <left/>
      <right style="medium">
        <color rgb="FF002060"/>
      </right>
      <top style="thin">
        <color rgb="FF000000"/>
      </top>
      <bottom style="medium">
        <color rgb="FF00206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206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2060"/>
      </left>
      <right/>
      <top style="medium">
        <color rgb="FF000000"/>
      </top>
      <bottom style="thin">
        <color rgb="FF000000"/>
      </bottom>
    </border>
    <border>
      <left style="medium">
        <color rgb="FF00206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206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2060"/>
      </right>
      <top/>
      <bottom style="medium">
        <color rgb="FF000000"/>
      </bottom>
    </border>
    <border>
      <left style="medium">
        <color rgb="FF002060"/>
      </left>
      <top style="thin">
        <color rgb="FF002060"/>
      </top>
      <bottom style="thin">
        <color rgb="FF002060"/>
      </bottom>
    </border>
    <border>
      <right/>
      <top style="thin">
        <color rgb="FF002060"/>
      </top>
      <bottom style="thin">
        <color rgb="FF00206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medium">
        <color rgb="FF002060"/>
      </top>
    </border>
    <border>
      <left/>
      <right style="medium">
        <color rgb="FF002060"/>
      </right>
      <top/>
    </border>
    <border>
      <left style="medium">
        <color rgb="FF002060"/>
      </left>
      <bottom style="medium">
        <color rgb="FF002060"/>
      </bottom>
    </border>
    <border>
      <right/>
      <bottom style="medium">
        <color rgb="FF002060"/>
      </bottom>
    </border>
    <border>
      <left style="medium">
        <color rgb="FF002060"/>
      </left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2060"/>
      </left>
      <top style="thin">
        <color rgb="FF002060"/>
      </top>
      <bottom style="medium">
        <color rgb="FF002060"/>
      </bottom>
    </border>
    <border>
      <right style="thin">
        <color rgb="FF002060"/>
      </right>
      <top style="thin">
        <color rgb="FF002060"/>
      </top>
      <bottom style="medium">
        <color rgb="FF00206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2060"/>
      </left>
      <top style="thin">
        <color rgb="FF000000"/>
      </top>
      <bottom style="medium">
        <color rgb="FF002060"/>
      </bottom>
    </border>
    <border>
      <right/>
      <top style="thin">
        <color rgb="FF000000"/>
      </top>
      <bottom style="medium">
        <color rgb="FF002060"/>
      </bottom>
    </border>
    <border>
      <left style="medium">
        <color rgb="FF002060"/>
      </left>
      <top style="medium">
        <color rgb="FF002060"/>
      </top>
      <bottom style="medium">
        <color rgb="FF002060"/>
      </bottom>
    </border>
    <border>
      <right style="medium">
        <color rgb="FF002060"/>
      </right>
      <top style="medium">
        <color rgb="FF002060"/>
      </top>
      <bottom style="medium">
        <color rgb="FF002060"/>
      </bottom>
    </border>
    <border>
      <left style="medium">
        <color rgb="FF000000"/>
      </left>
      <right style="thin">
        <color rgb="FF000000"/>
      </right>
      <top style="medium">
        <color rgb="FF002060"/>
      </top>
      <bottom style="medium">
        <color rgb="FF002060"/>
      </bottom>
    </border>
    <border>
      <left style="medium">
        <color rgb="FF002060"/>
      </left>
      <right style="medium">
        <color rgb="FF000000"/>
      </right>
      <top style="medium">
        <color rgb="FF002060"/>
      </top>
      <bottom style="medium">
        <color rgb="FF002060"/>
      </bottom>
    </border>
    <border>
      <right/>
      <top style="medium">
        <color rgb="FF002060"/>
      </top>
      <bottom style="medium">
        <color rgb="FF002060"/>
      </bottom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</border>
    <border>
      <bottom style="medium">
        <color rgb="FF002060"/>
      </bottom>
    </border>
    <border>
      <left style="medium">
        <color rgb="FF000000"/>
      </left>
      <bottom style="medium">
        <color rgb="FF002060"/>
      </bottom>
    </border>
    <border>
      <left style="medium">
        <color rgb="FF000000"/>
      </left>
      <top style="medium">
        <color rgb="FF002060"/>
      </top>
      <bottom style="medium">
        <color rgb="FF000000"/>
      </bottom>
    </border>
    <border>
      <top style="medium">
        <color rgb="FF002060"/>
      </top>
      <bottom style="medium">
        <color rgb="FF000000"/>
      </bottom>
    </border>
    <border>
      <right style="medium">
        <color rgb="FF000000"/>
      </right>
      <top style="medium">
        <color rgb="FF002060"/>
      </top>
      <bottom style="medium">
        <color rgb="FF000000"/>
      </bottom>
    </border>
    <border>
      <left style="medium">
        <color rgb="FF002060"/>
      </left>
      <right/>
      <top style="medium">
        <color rgb="FF002060"/>
      </top>
      <bottom style="thin">
        <color rgb="FF000000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4" numFmtId="0" xfId="0" applyAlignment="1" applyBorder="1" applyFont="1">
      <alignment horizontal="center"/>
    </xf>
    <xf borderId="0" fillId="0" fontId="5" numFmtId="0" xfId="0" applyFont="1"/>
    <xf borderId="0" fillId="0" fontId="5" numFmtId="0" xfId="0" applyAlignment="1" applyFont="1">
      <alignment horizontal="left"/>
    </xf>
    <xf borderId="4" fillId="0" fontId="5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6" fillId="3" fontId="6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3" fontId="6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3" fontId="6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3" fontId="6" numFmtId="0" xfId="0" applyAlignment="1" applyBorder="1" applyFont="1">
      <alignment horizontal="center" shrinkToFit="0" wrapText="1"/>
    </xf>
    <xf borderId="16" fillId="0" fontId="2" numFmtId="0" xfId="0" applyBorder="1" applyFont="1"/>
    <xf borderId="17" fillId="2" fontId="7" numFmtId="0" xfId="0" applyAlignment="1" applyBorder="1" applyFont="1">
      <alignment horizontal="center" textRotation="90" vertical="center"/>
    </xf>
    <xf borderId="18" fillId="0" fontId="2" numFmtId="0" xfId="0" applyBorder="1" applyFont="1"/>
    <xf borderId="19" fillId="4" fontId="5" numFmtId="0" xfId="0" applyAlignment="1" applyBorder="1" applyFill="1" applyFont="1">
      <alignment horizontal="center" shrinkToFit="0" vertical="center" wrapText="1"/>
    </xf>
    <xf borderId="20" fillId="4" fontId="5" numFmtId="0" xfId="0" applyAlignment="1" applyBorder="1" applyFont="1">
      <alignment horizontal="center" shrinkToFit="0" textRotation="90" vertical="center" wrapText="1"/>
    </xf>
    <xf borderId="21" fillId="4" fontId="5" numFmtId="0" xfId="0" applyAlignment="1" applyBorder="1" applyFont="1">
      <alignment horizontal="center" shrinkToFit="0" textRotation="90" vertical="center" wrapText="1"/>
    </xf>
    <xf borderId="21" fillId="4" fontId="5" numFmtId="0" xfId="0" applyAlignment="1" applyBorder="1" applyFont="1">
      <alignment shrinkToFit="0" textRotation="90" vertical="center" wrapText="1"/>
    </xf>
    <xf borderId="22" fillId="4" fontId="5" numFmtId="0" xfId="0" applyAlignment="1" applyBorder="1" applyFont="1">
      <alignment horizontal="center" shrinkToFit="0" textRotation="90" vertical="center" wrapText="1"/>
    </xf>
    <xf borderId="23" fillId="5" fontId="5" numFmtId="0" xfId="0" applyAlignment="1" applyBorder="1" applyFill="1" applyFont="1">
      <alignment horizontal="center" shrinkToFit="0" textRotation="90" vertical="center" wrapText="1"/>
    </xf>
    <xf borderId="24" fillId="5" fontId="5" numFmtId="0" xfId="0" applyAlignment="1" applyBorder="1" applyFont="1">
      <alignment horizontal="center" shrinkToFit="0" textRotation="90" vertical="center" wrapText="1"/>
    </xf>
    <xf borderId="25" fillId="5" fontId="5" numFmtId="0" xfId="0" applyAlignment="1" applyBorder="1" applyFont="1">
      <alignment horizontal="center" shrinkToFit="0" textRotation="90" vertical="center" wrapText="1"/>
    </xf>
    <xf borderId="26" fillId="4" fontId="5" numFmtId="0" xfId="0" applyAlignment="1" applyBorder="1" applyFont="1">
      <alignment shrinkToFit="0" textRotation="90" vertical="center" wrapText="1"/>
    </xf>
    <xf borderId="27" fillId="4" fontId="5" numFmtId="0" xfId="0" applyAlignment="1" applyBorder="1" applyFont="1">
      <alignment shrinkToFit="0" textRotation="90" vertical="center" wrapText="1"/>
    </xf>
    <xf borderId="28" fillId="4" fontId="5" numFmtId="0" xfId="0" applyAlignment="1" applyBorder="1" applyFont="1">
      <alignment shrinkToFit="0" textRotation="90" vertical="center" wrapText="1"/>
    </xf>
    <xf borderId="29" fillId="6" fontId="5" numFmtId="0" xfId="0" applyAlignment="1" applyBorder="1" applyFill="1" applyFont="1">
      <alignment horizontal="center" shrinkToFit="0" textRotation="90" vertical="center" wrapText="1"/>
    </xf>
    <xf borderId="30" fillId="7" fontId="5" numFmtId="0" xfId="0" applyAlignment="1" applyBorder="1" applyFill="1" applyFont="1">
      <alignment horizontal="center" shrinkToFit="0" textRotation="90" vertical="center" wrapText="1"/>
    </xf>
    <xf borderId="29" fillId="8" fontId="5" numFmtId="0" xfId="0" applyAlignment="1" applyBorder="1" applyFill="1" applyFont="1">
      <alignment horizontal="center" shrinkToFit="0" textRotation="90" vertical="center" wrapText="1"/>
    </xf>
    <xf borderId="31" fillId="4" fontId="5" numFmtId="0" xfId="0" applyAlignment="1" applyBorder="1" applyFont="1">
      <alignment horizontal="center" shrinkToFit="0" textRotation="90" vertical="center" wrapText="1"/>
    </xf>
    <xf borderId="32" fillId="4" fontId="5" numFmtId="0" xfId="0" applyAlignment="1" applyBorder="1" applyFont="1">
      <alignment horizontal="center" shrinkToFit="0" textRotation="90" vertical="center" wrapText="1"/>
    </xf>
    <xf borderId="33" fillId="0" fontId="2" numFmtId="0" xfId="0" applyBorder="1" applyFont="1"/>
    <xf borderId="34" fillId="0" fontId="2" numFmtId="0" xfId="0" applyBorder="1" applyFont="1"/>
    <xf borderId="19" fillId="5" fontId="5" numFmtId="0" xfId="0" applyAlignment="1" applyBorder="1" applyFont="1">
      <alignment horizontal="center" vertical="center"/>
    </xf>
    <xf borderId="20" fillId="5" fontId="5" numFmtId="0" xfId="0" applyAlignment="1" applyBorder="1" applyFont="1">
      <alignment horizontal="center" vertical="center"/>
    </xf>
    <xf borderId="21" fillId="5" fontId="5" numFmtId="0" xfId="0" applyAlignment="1" applyBorder="1" applyFont="1">
      <alignment horizontal="center" shrinkToFit="0" vertical="center" wrapText="1"/>
    </xf>
    <xf borderId="22" fillId="5" fontId="5" numFmtId="0" xfId="0" applyAlignment="1" applyBorder="1" applyFont="1">
      <alignment horizontal="center" shrinkToFit="0" vertical="center" wrapText="1"/>
    </xf>
    <xf borderId="35" fillId="5" fontId="5" numFmtId="0" xfId="0" applyAlignment="1" applyBorder="1" applyFont="1">
      <alignment horizontal="center" shrinkToFit="0" vertical="center" wrapText="1"/>
    </xf>
    <xf borderId="36" fillId="5" fontId="5" numFmtId="0" xfId="0" applyAlignment="1" applyBorder="1" applyFont="1">
      <alignment horizontal="center" shrinkToFit="0" vertical="center" wrapText="1"/>
    </xf>
    <xf borderId="37" fillId="5" fontId="5" numFmtId="0" xfId="0" applyAlignment="1" applyBorder="1" applyFont="1">
      <alignment horizontal="center" shrinkToFit="0" vertical="center" wrapText="1"/>
    </xf>
    <xf borderId="38" fillId="5" fontId="5" numFmtId="0" xfId="0" applyAlignment="1" applyBorder="1" applyFont="1">
      <alignment horizontal="center" shrinkToFit="0" vertical="center" wrapText="1"/>
    </xf>
    <xf borderId="39" fillId="5" fontId="5" numFmtId="0" xfId="0" applyAlignment="1" applyBorder="1" applyFont="1">
      <alignment horizontal="center" shrinkToFit="0" vertical="center" wrapText="1"/>
    </xf>
    <xf borderId="40" fillId="0" fontId="2" numFmtId="0" xfId="0" applyBorder="1" applyFont="1"/>
    <xf borderId="41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5" fillId="0" fontId="5" numFmtId="0" xfId="0" applyAlignment="1" applyBorder="1" applyFont="1">
      <alignment horizontal="center"/>
    </xf>
    <xf borderId="46" fillId="0" fontId="8" numFmtId="0" xfId="0" applyAlignment="1" applyBorder="1" applyFont="1">
      <alignment shrinkToFit="0" vertical="center" wrapText="1"/>
    </xf>
    <xf borderId="47" fillId="0" fontId="3" numFmtId="0" xfId="0" applyAlignment="1" applyBorder="1" applyFont="1">
      <alignment horizontal="center"/>
    </xf>
    <xf borderId="48" fillId="0" fontId="3" numFmtId="0" xfId="0" applyAlignment="1" applyBorder="1" applyFont="1">
      <alignment horizontal="center"/>
    </xf>
    <xf borderId="49" fillId="0" fontId="3" numFmtId="0" xfId="0" applyAlignment="1" applyBorder="1" applyFont="1">
      <alignment horizontal="center"/>
    </xf>
    <xf borderId="50" fillId="0" fontId="3" numFmtId="0" xfId="0" applyAlignment="1" applyBorder="1" applyFont="1">
      <alignment horizontal="center"/>
    </xf>
    <xf borderId="51" fillId="0" fontId="3" numFmtId="0" xfId="0" applyAlignment="1" applyBorder="1" applyFont="1">
      <alignment horizontal="center"/>
    </xf>
    <xf borderId="52" fillId="0" fontId="3" numFmtId="0" xfId="0" applyAlignment="1" applyBorder="1" applyFont="1">
      <alignment horizontal="center"/>
    </xf>
    <xf borderId="53" fillId="0" fontId="5" numFmtId="0" xfId="0" applyAlignment="1" applyBorder="1" applyFont="1">
      <alignment horizontal="center" vertical="center"/>
    </xf>
    <xf borderId="54" fillId="0" fontId="5" numFmtId="0" xfId="0" applyAlignment="1" applyBorder="1" applyFont="1">
      <alignment horizontal="center" vertical="center"/>
    </xf>
    <xf borderId="55" fillId="0" fontId="5" numFmtId="0" xfId="0" applyAlignment="1" applyBorder="1" applyFont="1">
      <alignment horizontal="center" vertical="center"/>
    </xf>
    <xf borderId="34" fillId="0" fontId="5" numFmtId="0" xfId="0" applyAlignment="1" applyBorder="1" applyFont="1">
      <alignment horizontal="center" vertical="center"/>
    </xf>
    <xf borderId="56" fillId="0" fontId="5" numFmtId="0" xfId="0" applyAlignment="1" applyBorder="1" applyFont="1">
      <alignment horizontal="center" vertical="center"/>
    </xf>
    <xf borderId="57" fillId="0" fontId="5" numFmtId="0" xfId="0" applyAlignment="1" applyBorder="1" applyFont="1">
      <alignment horizontal="center" vertical="center"/>
    </xf>
    <xf borderId="58" fillId="4" fontId="5" numFmtId="0" xfId="0" applyAlignment="1" applyBorder="1" applyFont="1">
      <alignment horizontal="center"/>
    </xf>
    <xf borderId="59" fillId="0" fontId="8" numFmtId="0" xfId="0" applyAlignment="1" applyBorder="1" applyFont="1">
      <alignment shrinkToFit="0" vertical="center" wrapText="1"/>
    </xf>
    <xf borderId="60" fillId="4" fontId="3" numFmtId="0" xfId="0" applyAlignment="1" applyBorder="1" applyFont="1">
      <alignment horizontal="center"/>
    </xf>
    <xf borderId="61" fillId="4" fontId="3" numFmtId="0" xfId="0" applyAlignment="1" applyBorder="1" applyFont="1">
      <alignment horizontal="center"/>
    </xf>
    <xf borderId="62" fillId="4" fontId="3" numFmtId="0" xfId="0" applyAlignment="1" applyBorder="1" applyFont="1">
      <alignment horizontal="center"/>
    </xf>
    <xf borderId="63" fillId="4" fontId="3" numFmtId="0" xfId="0" applyAlignment="1" applyBorder="1" applyFont="1">
      <alignment horizontal="center"/>
    </xf>
    <xf borderId="64" fillId="4" fontId="3" numFmtId="0" xfId="0" applyAlignment="1" applyBorder="1" applyFont="1">
      <alignment horizontal="center"/>
    </xf>
    <xf borderId="65" fillId="4" fontId="3" numFmtId="0" xfId="0" applyAlignment="1" applyBorder="1" applyFont="1">
      <alignment horizontal="center"/>
    </xf>
    <xf borderId="66" fillId="4" fontId="5" numFmtId="0" xfId="0" applyAlignment="1" applyBorder="1" applyFont="1">
      <alignment horizontal="center" vertical="center"/>
    </xf>
    <xf borderId="67" fillId="4" fontId="5" numFmtId="0" xfId="0" applyAlignment="1" applyBorder="1" applyFont="1">
      <alignment horizontal="center" vertical="center"/>
    </xf>
    <xf borderId="68" fillId="4" fontId="5" numFmtId="0" xfId="0" applyAlignment="1" applyBorder="1" applyFont="1">
      <alignment horizontal="center" vertical="center"/>
    </xf>
    <xf borderId="69" fillId="0" fontId="5" numFmtId="0" xfId="0" applyAlignment="1" applyBorder="1" applyFont="1">
      <alignment horizontal="center" vertical="center"/>
    </xf>
    <xf borderId="60" fillId="0" fontId="3" numFmtId="0" xfId="0" applyAlignment="1" applyBorder="1" applyFont="1">
      <alignment horizontal="center"/>
    </xf>
    <xf borderId="61" fillId="0" fontId="3" numFmtId="0" xfId="0" applyAlignment="1" applyBorder="1" applyFont="1">
      <alignment horizontal="center"/>
    </xf>
    <xf borderId="70" fillId="0" fontId="3" numFmtId="0" xfId="0" applyAlignment="1" applyBorder="1" applyFont="1">
      <alignment horizontal="center"/>
    </xf>
    <xf borderId="63" fillId="0" fontId="3" numFmtId="0" xfId="0" applyAlignment="1" applyBorder="1" applyFont="1">
      <alignment horizontal="center"/>
    </xf>
    <xf borderId="71" fillId="0" fontId="3" numFmtId="0" xfId="0" applyAlignment="1" applyBorder="1" applyFont="1">
      <alignment horizontal="center"/>
    </xf>
    <xf borderId="65" fillId="0" fontId="3" numFmtId="0" xfId="0" applyAlignment="1" applyBorder="1" applyFont="1">
      <alignment horizontal="center"/>
    </xf>
    <xf borderId="72" fillId="0" fontId="5" numFmtId="0" xfId="0" applyAlignment="1" applyBorder="1" applyFont="1">
      <alignment horizontal="center" vertical="center"/>
    </xf>
    <xf borderId="67" fillId="0" fontId="5" numFmtId="0" xfId="0" applyAlignment="1" applyBorder="1" applyFont="1">
      <alignment horizontal="center" vertical="center"/>
    </xf>
    <xf borderId="73" fillId="0" fontId="5" numFmtId="0" xfId="0" applyAlignment="1" applyBorder="1" applyFont="1">
      <alignment horizontal="center" vertical="center"/>
    </xf>
    <xf borderId="58" fillId="4" fontId="5" numFmtId="0" xfId="0" applyBorder="1" applyFont="1"/>
    <xf borderId="45" fillId="0" fontId="5" numFmtId="0" xfId="0" applyBorder="1" applyFont="1"/>
    <xf borderId="74" fillId="4" fontId="5" numFmtId="0" xfId="0" applyAlignment="1" applyBorder="1" applyFont="1">
      <alignment horizontal="center"/>
    </xf>
    <xf borderId="74" fillId="4" fontId="5" numFmtId="0" xfId="0" applyBorder="1" applyFont="1"/>
    <xf borderId="75" fillId="4" fontId="3" numFmtId="0" xfId="0" applyAlignment="1" applyBorder="1" applyFont="1">
      <alignment horizontal="center"/>
    </xf>
    <xf borderId="76" fillId="4" fontId="3" numFmtId="0" xfId="0" applyAlignment="1" applyBorder="1" applyFont="1">
      <alignment horizontal="center"/>
    </xf>
    <xf borderId="77" fillId="4" fontId="3" numFmtId="0" xfId="0" applyAlignment="1" applyBorder="1" applyFont="1">
      <alignment horizontal="center"/>
    </xf>
    <xf borderId="78" fillId="4" fontId="3" numFmtId="0" xfId="0" applyAlignment="1" applyBorder="1" applyFont="1">
      <alignment horizontal="center"/>
    </xf>
    <xf borderId="79" fillId="4" fontId="3" numFmtId="0" xfId="0" applyAlignment="1" applyBorder="1" applyFont="1">
      <alignment horizontal="center"/>
    </xf>
    <xf borderId="80" fillId="4" fontId="3" numFmtId="0" xfId="0" applyAlignment="1" applyBorder="1" applyFont="1">
      <alignment horizontal="center"/>
    </xf>
    <xf borderId="81" fillId="4" fontId="5" numFmtId="0" xfId="0" applyAlignment="1" applyBorder="1" applyFont="1">
      <alignment horizontal="center" vertical="center"/>
    </xf>
    <xf borderId="82" fillId="4" fontId="5" numFmtId="0" xfId="0" applyAlignment="1" applyBorder="1" applyFont="1">
      <alignment horizontal="center" vertical="center"/>
    </xf>
    <xf borderId="83" fillId="4" fontId="5" numFmtId="0" xfId="0" applyAlignment="1" applyBorder="1" applyFont="1">
      <alignment horizontal="center" vertical="center"/>
    </xf>
    <xf borderId="84" fillId="0" fontId="5" numFmtId="0" xfId="0" applyAlignment="1" applyBorder="1" applyFont="1">
      <alignment horizontal="center" vertical="center"/>
    </xf>
    <xf borderId="6" fillId="2" fontId="6" numFmtId="0" xfId="0" applyAlignment="1" applyBorder="1" applyFont="1">
      <alignment horizontal="center" vertical="center"/>
    </xf>
    <xf borderId="85" fillId="2" fontId="6" numFmtId="0" xfId="0" applyAlignment="1" applyBorder="1" applyFont="1">
      <alignment horizontal="center" vertical="center"/>
    </xf>
    <xf borderId="86" fillId="2" fontId="6" numFmtId="0" xfId="0" applyAlignment="1" applyBorder="1" applyFont="1">
      <alignment horizontal="center" vertical="center"/>
    </xf>
    <xf borderId="87" fillId="2" fontId="6" numFmtId="0" xfId="0" applyAlignment="1" applyBorder="1" applyFont="1">
      <alignment horizontal="center" vertical="center"/>
    </xf>
    <xf borderId="88" fillId="2" fontId="6" numFmtId="0" xfId="0" applyAlignment="1" applyBorder="1" applyFont="1">
      <alignment horizontal="center" vertical="center"/>
    </xf>
    <xf borderId="89" fillId="9" fontId="9" numFmtId="0" xfId="0" applyAlignment="1" applyBorder="1" applyFill="1" applyFont="1">
      <alignment horizontal="center" vertical="center"/>
    </xf>
    <xf borderId="90" fillId="0" fontId="2" numFmtId="0" xfId="0" applyBorder="1" applyFont="1"/>
    <xf borderId="91" fillId="0" fontId="2" numFmtId="0" xfId="0" applyBorder="1" applyFont="1"/>
    <xf borderId="92" fillId="6" fontId="5" numFmtId="0" xfId="0" applyAlignment="1" applyBorder="1" applyFont="1">
      <alignment horizontal="center"/>
    </xf>
    <xf borderId="93" fillId="0" fontId="2" numFmtId="0" xfId="0" applyBorder="1" applyFont="1"/>
    <xf borderId="94" fillId="6" fontId="5" numFmtId="9" xfId="0" applyAlignment="1" applyBorder="1" applyFont="1" applyNumberFormat="1">
      <alignment horizontal="center"/>
    </xf>
    <xf borderId="95" fillId="6" fontId="5" numFmtId="9" xfId="0" applyAlignment="1" applyBorder="1" applyFont="1" applyNumberFormat="1">
      <alignment horizontal="center"/>
    </xf>
    <xf borderId="96" fillId="6" fontId="5" numFmtId="9" xfId="0" applyAlignment="1" applyBorder="1" applyFont="1" applyNumberFormat="1">
      <alignment horizontal="center"/>
    </xf>
    <xf borderId="97" fillId="6" fontId="5" numFmtId="9" xfId="0" applyAlignment="1" applyBorder="1" applyFont="1" applyNumberFormat="1">
      <alignment horizontal="center"/>
    </xf>
    <xf borderId="4" fillId="2" fontId="6" numFmtId="0" xfId="0" applyAlignment="1" applyBorder="1" applyFont="1">
      <alignment horizontal="center" vertical="center"/>
    </xf>
    <xf borderId="98" fillId="0" fontId="2" numFmtId="0" xfId="0" applyBorder="1" applyFont="1"/>
    <xf borderId="31" fillId="4" fontId="5" numFmtId="0" xfId="0" applyAlignment="1" applyBorder="1" applyFont="1">
      <alignment horizontal="center" shrinkToFit="0" vertical="center" wrapText="1"/>
    </xf>
    <xf borderId="32" fillId="4" fontId="5" numFmtId="0" xfId="0" applyAlignment="1" applyBorder="1" applyFont="1">
      <alignment horizontal="center" shrinkToFit="0" vertical="center" wrapText="1"/>
    </xf>
    <xf borderId="99" fillId="2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92" fillId="7" fontId="5" numFmtId="0" xfId="0" applyAlignment="1" applyBorder="1" applyFont="1">
      <alignment horizontal="center"/>
    </xf>
    <xf borderId="94" fillId="7" fontId="5" numFmtId="9" xfId="0" applyAlignment="1" applyBorder="1" applyFont="1" applyNumberFormat="1">
      <alignment horizontal="center"/>
    </xf>
    <xf borderId="95" fillId="7" fontId="5" numFmtId="9" xfId="0" applyAlignment="1" applyBorder="1" applyFont="1" applyNumberFormat="1">
      <alignment horizontal="center"/>
    </xf>
    <xf borderId="96" fillId="7" fontId="5" numFmtId="9" xfId="0" applyAlignment="1" applyBorder="1" applyFont="1" applyNumberFormat="1">
      <alignment horizontal="center"/>
    </xf>
    <xf borderId="97" fillId="7" fontId="5" numFmtId="9" xfId="0" applyAlignment="1" applyBorder="1" applyFont="1" applyNumberFormat="1">
      <alignment horizontal="center"/>
    </xf>
    <xf borderId="100" fillId="0" fontId="2" numFmtId="0" xfId="0" applyBorder="1" applyFont="1"/>
    <xf borderId="101" fillId="0" fontId="2" numFmtId="0" xfId="0" applyBorder="1" applyFont="1"/>
    <xf borderId="92" fillId="8" fontId="5" numFmtId="0" xfId="0" applyAlignment="1" applyBorder="1" applyFont="1">
      <alignment horizontal="center"/>
    </xf>
    <xf borderId="94" fillId="8" fontId="5" numFmtId="9" xfId="0" applyAlignment="1" applyBorder="1" applyFont="1" applyNumberFormat="1">
      <alignment horizontal="center"/>
    </xf>
    <xf borderId="95" fillId="8" fontId="5" numFmtId="9" xfId="0" applyAlignment="1" applyBorder="1" applyFont="1" applyNumberFormat="1">
      <alignment horizontal="center"/>
    </xf>
    <xf borderId="96" fillId="8" fontId="5" numFmtId="9" xfId="0" applyAlignment="1" applyBorder="1" applyFont="1" applyNumberFormat="1">
      <alignment horizontal="center"/>
    </xf>
    <xf borderId="97" fillId="8" fontId="5" numFmtId="9" xfId="0" applyAlignment="1" applyBorder="1" applyFont="1" applyNumberFormat="1">
      <alignment horizontal="center"/>
    </xf>
    <xf borderId="102" fillId="10" fontId="5" numFmtId="0" xfId="0" applyAlignment="1" applyBorder="1" applyFill="1" applyFont="1">
      <alignment horizontal="center"/>
    </xf>
    <xf borderId="103" fillId="0" fontId="2" numFmtId="0" xfId="0" applyBorder="1" applyFont="1"/>
    <xf borderId="56" fillId="0" fontId="5" numFmtId="0" xfId="0" applyAlignment="1" applyBorder="1" applyFont="1">
      <alignment horizontal="center"/>
    </xf>
    <xf borderId="54" fillId="0" fontId="5" numFmtId="0" xfId="0" applyAlignment="1" applyBorder="1" applyFont="1">
      <alignment horizontal="center"/>
    </xf>
    <xf borderId="104" fillId="0" fontId="5" numFmtId="0" xfId="0" applyAlignment="1" applyBorder="1" applyFont="1">
      <alignment horizontal="center"/>
    </xf>
    <xf borderId="105" fillId="0" fontId="2" numFmtId="0" xfId="0" applyBorder="1" applyFont="1"/>
    <xf borderId="26" fillId="0" fontId="5" numFmtId="9" xfId="0" applyAlignment="1" applyBorder="1" applyFont="1" applyNumberFormat="1">
      <alignment horizontal="center"/>
    </xf>
    <xf borderId="27" fillId="0" fontId="5" numFmtId="9" xfId="0" applyAlignment="1" applyBorder="1" applyFont="1" applyNumberFormat="1">
      <alignment horizontal="center"/>
    </xf>
    <xf borderId="106" fillId="0" fontId="5" numFmtId="9" xfId="0" applyAlignment="1" applyBorder="1" applyFont="1" applyNumberFormat="1">
      <alignment horizontal="center"/>
    </xf>
    <xf borderId="94" fillId="0" fontId="5" numFmtId="9" xfId="0" applyAlignment="1" applyBorder="1" applyFont="1" applyNumberFormat="1">
      <alignment horizontal="center"/>
    </xf>
    <xf borderId="95" fillId="0" fontId="5" numFmtId="9" xfId="0" applyAlignment="1" applyBorder="1" applyFont="1" applyNumberFormat="1">
      <alignment horizontal="center"/>
    </xf>
    <xf borderId="97" fillId="0" fontId="5" numFmtId="9" xfId="0" applyAlignment="1" applyBorder="1" applyFont="1" applyNumberFormat="1">
      <alignment horizontal="center"/>
    </xf>
    <xf borderId="45" fillId="11" fontId="5" numFmtId="0" xfId="0" applyAlignment="1" applyBorder="1" applyFill="1" applyFont="1">
      <alignment horizontal="center"/>
    </xf>
    <xf borderId="107" fillId="0" fontId="2" numFmtId="0" xfId="0" applyBorder="1" applyFont="1"/>
    <xf borderId="67" fillId="0" fontId="5" numFmtId="0" xfId="0" applyAlignment="1" applyBorder="1" applyFont="1">
      <alignment horizontal="center"/>
    </xf>
    <xf borderId="0" fillId="0" fontId="3" numFmtId="9" xfId="0" applyFont="1" applyNumberFormat="1"/>
    <xf borderId="108" fillId="0" fontId="3" numFmtId="0" xfId="0" applyBorder="1" applyFont="1"/>
    <xf borderId="109" fillId="0" fontId="3" numFmtId="0" xfId="0" applyBorder="1" applyFont="1"/>
    <xf borderId="45" fillId="9" fontId="5" numFmtId="0" xfId="0" applyAlignment="1" applyBorder="1" applyFont="1">
      <alignment horizontal="center"/>
    </xf>
    <xf borderId="0" fillId="0" fontId="3" numFmtId="1" xfId="0" applyFont="1" applyNumberFormat="1"/>
    <xf borderId="110" fillId="12" fontId="5" numFmtId="0" xfId="0" applyAlignment="1" applyBorder="1" applyFill="1" applyFont="1">
      <alignment horizontal="center"/>
    </xf>
    <xf borderId="111" fillId="0" fontId="2" numFmtId="0" xfId="0" applyBorder="1" applyFont="1"/>
    <xf borderId="82" fillId="0" fontId="5" numFmtId="0" xfId="0" applyAlignment="1" applyBorder="1" applyFont="1">
      <alignment horizontal="center"/>
    </xf>
    <xf borderId="112" fillId="0" fontId="5" numFmtId="0" xfId="0" applyAlignment="1" applyBorder="1" applyFont="1">
      <alignment horizontal="center" vertical="center"/>
    </xf>
    <xf borderId="113" fillId="0" fontId="2" numFmtId="0" xfId="0" applyBorder="1" applyFont="1"/>
    <xf borderId="20" fillId="0" fontId="5" numFmtId="0" xfId="0" applyAlignment="1" applyBorder="1" applyFont="1">
      <alignment horizontal="center" shrinkToFit="0" vertical="center" wrapText="1"/>
    </xf>
    <xf borderId="112" fillId="0" fontId="5" numFmtId="0" xfId="0" applyAlignment="1" applyBorder="1" applyFont="1">
      <alignment horizontal="center" shrinkToFit="0" vertical="center" wrapText="1"/>
    </xf>
    <xf borderId="114" fillId="0" fontId="5" numFmtId="0" xfId="0" applyAlignment="1" applyBorder="1" applyFont="1">
      <alignment horizontal="center" shrinkToFit="0" vertical="center" wrapText="1"/>
    </xf>
    <xf borderId="115" fillId="0" fontId="5" numFmtId="0" xfId="0" applyAlignment="1" applyBorder="1" applyFont="1">
      <alignment horizontal="center" shrinkToFit="0" vertical="center" wrapText="1"/>
    </xf>
    <xf borderId="112" fillId="4" fontId="5" numFmtId="0" xfId="0" applyAlignment="1" applyBorder="1" applyFont="1">
      <alignment horizontal="center" shrinkToFit="0" wrapText="1"/>
    </xf>
    <xf borderId="116" fillId="0" fontId="2" numFmtId="0" xfId="0" applyBorder="1" applyFont="1"/>
    <xf borderId="117" fillId="4" fontId="10" numFmtId="0" xfId="0" applyAlignment="1" applyBorder="1" applyFont="1">
      <alignment horizontal="center" vertical="center"/>
    </xf>
    <xf borderId="100" fillId="0" fontId="5" numFmtId="0" xfId="0" applyAlignment="1" applyBorder="1" applyFont="1">
      <alignment horizontal="center"/>
    </xf>
    <xf borderId="118" fillId="0" fontId="2" numFmtId="0" xfId="0" applyBorder="1" applyFont="1"/>
    <xf borderId="119" fillId="0" fontId="5" numFmtId="0" xfId="0" applyAlignment="1" applyBorder="1" applyFont="1">
      <alignment horizontal="center" vertical="center"/>
    </xf>
    <xf borderId="120" fillId="0" fontId="5" numFmtId="0" xfId="0" applyAlignment="1" applyBorder="1" applyFont="1">
      <alignment horizontal="center" vertical="center"/>
    </xf>
    <xf borderId="121" fillId="0" fontId="2" numFmtId="0" xfId="0" applyBorder="1" applyFont="1"/>
    <xf borderId="122" fillId="0" fontId="2" numFmtId="0" xfId="0" applyBorder="1" applyFont="1"/>
    <xf borderId="6" fillId="9" fontId="6" numFmtId="0" xfId="0" applyAlignment="1" applyBorder="1" applyFont="1">
      <alignment horizontal="center"/>
    </xf>
    <xf borderId="123" fillId="6" fontId="5" numFmtId="0" xfId="0" applyAlignment="1" applyBorder="1" applyFont="1">
      <alignment horizontal="left"/>
    </xf>
    <xf borderId="55" fillId="0" fontId="3" numFmtId="0" xfId="0" applyAlignment="1" applyBorder="1" applyFont="1">
      <alignment horizontal="center"/>
    </xf>
    <xf borderId="58" fillId="7" fontId="5" numFmtId="0" xfId="0" applyAlignment="1" applyBorder="1" applyFont="1">
      <alignment horizontal="left"/>
    </xf>
    <xf borderId="73" fillId="0" fontId="3" numFmtId="0" xfId="0" applyAlignment="1" applyBorder="1" applyFont="1">
      <alignment horizontal="center"/>
    </xf>
    <xf borderId="74" fillId="8" fontId="5" numFmtId="0" xfId="0" applyAlignment="1" applyBorder="1" applyFont="1">
      <alignment horizontal="left"/>
    </xf>
    <xf borderId="83" fillId="4" fontId="3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44.0"/>
    <col customWidth="1" min="3" max="22" width="12.71"/>
    <col customWidth="1" min="23" max="25" width="10.71"/>
    <col customWidth="1" min="26" max="26" width="22.29"/>
    <col customWidth="1" min="27" max="28" width="20.57"/>
    <col customWidth="1" min="29" max="29" width="21.0"/>
    <col customWidth="1" min="30" max="30" width="10.71"/>
    <col customWidth="1" min="31" max="31" width="17.57"/>
    <col customWidth="1" min="32" max="33" width="10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4"/>
      <c r="AE1" s="4"/>
      <c r="AF1" s="4"/>
      <c r="AG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ht="14.25" customHeight="1">
      <c r="A3" s="5" t="s">
        <v>1</v>
      </c>
      <c r="B3" s="3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4"/>
      <c r="AE3" s="4"/>
      <c r="AF3" s="4"/>
      <c r="AG3" s="4"/>
    </row>
    <row r="4" ht="14.2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4"/>
      <c r="AE4" s="4"/>
      <c r="AF4" s="4"/>
      <c r="AG4" s="4"/>
    </row>
    <row r="5" ht="33.75" customHeight="1">
      <c r="A5" s="8" t="s">
        <v>2</v>
      </c>
      <c r="B5" s="9" t="s">
        <v>3</v>
      </c>
      <c r="C5" s="10" t="s">
        <v>4</v>
      </c>
      <c r="D5" s="11"/>
      <c r="E5" s="11"/>
      <c r="F5" s="11"/>
      <c r="G5" s="11"/>
      <c r="H5" s="12"/>
      <c r="I5" s="13" t="s">
        <v>5</v>
      </c>
      <c r="J5" s="14"/>
      <c r="K5" s="14"/>
      <c r="L5" s="14"/>
      <c r="M5" s="14"/>
      <c r="N5" s="14"/>
      <c r="O5" s="14"/>
      <c r="P5" s="15"/>
      <c r="Q5" s="16" t="s">
        <v>6</v>
      </c>
      <c r="R5" s="17"/>
      <c r="S5" s="17"/>
      <c r="T5" s="17"/>
      <c r="U5" s="17"/>
      <c r="V5" s="18"/>
      <c r="W5" s="19" t="s">
        <v>7</v>
      </c>
      <c r="X5" s="11"/>
      <c r="Y5" s="12"/>
      <c r="Z5" s="10" t="s">
        <v>3</v>
      </c>
      <c r="AA5" s="11"/>
      <c r="AB5" s="20"/>
      <c r="AC5" s="21" t="s">
        <v>8</v>
      </c>
      <c r="AD5" s="4"/>
      <c r="AE5" s="4"/>
      <c r="AF5" s="4"/>
      <c r="AG5" s="4"/>
    </row>
    <row r="6" ht="121.5" customHeight="1">
      <c r="A6" s="22"/>
      <c r="B6" s="23" t="s">
        <v>9</v>
      </c>
      <c r="C6" s="24" t="s">
        <v>10</v>
      </c>
      <c r="D6" s="25" t="s">
        <v>10</v>
      </c>
      <c r="E6" s="25" t="s">
        <v>11</v>
      </c>
      <c r="F6" s="26" t="s">
        <v>11</v>
      </c>
      <c r="G6" s="26" t="s">
        <v>12</v>
      </c>
      <c r="H6" s="27" t="s">
        <v>13</v>
      </c>
      <c r="I6" s="28" t="s">
        <v>14</v>
      </c>
      <c r="J6" s="29" t="s">
        <v>14</v>
      </c>
      <c r="K6" s="29" t="s">
        <v>15</v>
      </c>
      <c r="L6" s="29" t="s">
        <v>15</v>
      </c>
      <c r="M6" s="29" t="s">
        <v>15</v>
      </c>
      <c r="N6" s="29" t="s">
        <v>15</v>
      </c>
      <c r="O6" s="29" t="s">
        <v>15</v>
      </c>
      <c r="P6" s="30" t="s">
        <v>15</v>
      </c>
      <c r="Q6" s="31" t="s">
        <v>16</v>
      </c>
      <c r="R6" s="32" t="s">
        <v>16</v>
      </c>
      <c r="S6" s="32" t="s">
        <v>16</v>
      </c>
      <c r="T6" s="32" t="s">
        <v>17</v>
      </c>
      <c r="U6" s="32" t="s">
        <v>18</v>
      </c>
      <c r="V6" s="33" t="s">
        <v>18</v>
      </c>
      <c r="W6" s="34" t="s">
        <v>19</v>
      </c>
      <c r="X6" s="35" t="s">
        <v>20</v>
      </c>
      <c r="Y6" s="36" t="s">
        <v>21</v>
      </c>
      <c r="Z6" s="37" t="s">
        <v>4</v>
      </c>
      <c r="AA6" s="38" t="s">
        <v>5</v>
      </c>
      <c r="AB6" s="38" t="s">
        <v>6</v>
      </c>
      <c r="AC6" s="39"/>
      <c r="AD6" s="4"/>
      <c r="AE6" s="4"/>
      <c r="AF6" s="4"/>
      <c r="AG6" s="4"/>
    </row>
    <row r="7" ht="14.25" customHeight="1">
      <c r="A7" s="40"/>
      <c r="B7" s="41" t="s">
        <v>22</v>
      </c>
      <c r="C7" s="42" t="s">
        <v>23</v>
      </c>
      <c r="D7" s="43" t="s">
        <v>24</v>
      </c>
      <c r="E7" s="43" t="s">
        <v>25</v>
      </c>
      <c r="F7" s="43" t="s">
        <v>26</v>
      </c>
      <c r="G7" s="43" t="s">
        <v>27</v>
      </c>
      <c r="H7" s="44" t="s">
        <v>28</v>
      </c>
      <c r="I7" s="45" t="s">
        <v>29</v>
      </c>
      <c r="J7" s="46" t="s">
        <v>30</v>
      </c>
      <c r="K7" s="46" t="s">
        <v>31</v>
      </c>
      <c r="L7" s="46" t="s">
        <v>32</v>
      </c>
      <c r="M7" s="46" t="s">
        <v>33</v>
      </c>
      <c r="N7" s="46" t="s">
        <v>34</v>
      </c>
      <c r="O7" s="46" t="s">
        <v>35</v>
      </c>
      <c r="P7" s="47" t="s">
        <v>36</v>
      </c>
      <c r="Q7" s="48" t="s">
        <v>37</v>
      </c>
      <c r="R7" s="47" t="s">
        <v>38</v>
      </c>
      <c r="S7" s="47" t="s">
        <v>39</v>
      </c>
      <c r="T7" s="47" t="s">
        <v>40</v>
      </c>
      <c r="U7" s="47" t="s">
        <v>41</v>
      </c>
      <c r="V7" s="49" t="s">
        <v>42</v>
      </c>
      <c r="W7" s="50"/>
      <c r="X7" s="51"/>
      <c r="Y7" s="50"/>
      <c r="Z7" s="52"/>
      <c r="AA7" s="53"/>
      <c r="AB7" s="53"/>
      <c r="AC7" s="54"/>
      <c r="AD7" s="4"/>
      <c r="AE7" s="4"/>
      <c r="AF7" s="4"/>
      <c r="AG7" s="4"/>
    </row>
    <row r="8" ht="19.5" customHeight="1">
      <c r="A8" s="55">
        <v>1.0</v>
      </c>
      <c r="B8" s="56" t="s">
        <v>43</v>
      </c>
      <c r="C8" s="57">
        <v>1.0</v>
      </c>
      <c r="D8" s="58">
        <v>1.0</v>
      </c>
      <c r="E8" s="58">
        <v>3.0</v>
      </c>
      <c r="F8" s="58">
        <v>1.0</v>
      </c>
      <c r="G8" s="58">
        <v>1.0</v>
      </c>
      <c r="H8" s="59">
        <v>1.0</v>
      </c>
      <c r="I8" s="60">
        <v>3.0</v>
      </c>
      <c r="J8" s="58">
        <v>3.0</v>
      </c>
      <c r="K8" s="58">
        <v>3.0</v>
      </c>
      <c r="L8" s="58">
        <v>3.0</v>
      </c>
      <c r="M8" s="58">
        <v>3.0</v>
      </c>
      <c r="N8" s="58">
        <v>3.0</v>
      </c>
      <c r="O8" s="58">
        <v>3.0</v>
      </c>
      <c r="P8" s="59">
        <v>3.0</v>
      </c>
      <c r="Q8" s="61">
        <v>3.0</v>
      </c>
      <c r="R8" s="59">
        <v>1.0</v>
      </c>
      <c r="S8" s="59">
        <v>1.0</v>
      </c>
      <c r="T8" s="59">
        <v>3.0</v>
      </c>
      <c r="U8" s="59">
        <v>3.0</v>
      </c>
      <c r="V8" s="62">
        <v>1.0</v>
      </c>
      <c r="W8" s="63">
        <f t="shared" ref="W8:W47" si="1">COUNTIF(C8:V8,3)</f>
        <v>12</v>
      </c>
      <c r="X8" s="64">
        <f t="shared" ref="X8:X47" si="2">COUNTIF(C8:V8,1)</f>
        <v>8</v>
      </c>
      <c r="Y8" s="65">
        <f t="shared" ref="Y8:Y47" si="3">COUNTIF(C8:V8,0)</f>
        <v>0</v>
      </c>
      <c r="Z8" s="66" t="str">
        <f t="shared" ref="Z8:Z47" si="4">IF(COUNTA(C8:H8)=0, "",
   IF(COUNTIF(C8:H8, 3)&lt;=1, "Previo al Inicio",
   IF(COUNTIF(C8:H8, 3)&lt;=3, "Inicio",
   IF(COUNTIF(C8:H8, 3)&lt;=5, "Proceso",
   IF(COUNTIF(C8:H8, 3)=6, "Logrado", "")))))</f>
        <v>Previo al Inicio</v>
      </c>
      <c r="AA8" s="67" t="str">
        <f t="shared" ref="AA8:AA47" si="5">IF(COUNTA(I8:P8)=0, "",
   IF(COUNTIF(I8:P8, 3)&lt;=2, "Previo al Inicio",
   IF(COUNTIF(I8:P8, 3)&lt;=4, "Inicio",
   IF(COUNTIF(I8:P8, 3)&lt;=6, "Proceso",
   IF(COUNTIF(I8:P8, 3)&lt;=8, "Logrado", "")))))</f>
        <v>Logrado</v>
      </c>
      <c r="AB8" s="66" t="str">
        <f t="shared" ref="AB8:AB47" si="6">IF(COUNTA(Q8:V8)=0, "",
   IF(COUNTIF(Q8:V8, 3)&lt;=1, "Previo al Inicio",
   IF(COUNTIF(Q8:V8, 3)&lt;=3, "Inicio",
   IF(COUNTIF(Q8:V8, 3)&lt;=5, "Proceso",
   IF(COUNTIF(Q8:V8, 3)=6, "Logrado", "")))))</f>
        <v>Inicio</v>
      </c>
      <c r="AC8" s="68" t="str">
        <f t="shared" ref="AC8:AC47" si="7">IF(COUNTA(C8:V8)=0,"",IF(COUNTIF(C8:V8,3)&lt;=5,"Previo al Inicio",IF(AND(COUNTIF(C8:V8,3)&gt;=6,COUNTIF(C8:V8,3)&lt;=10),"Inicio",IF(AND(COUNTIF(C8:V8,3)&gt;=11,COUNTIF(C8:V8,3)&lt;=15),"Proceso","Logrado"))))</f>
        <v>Proceso</v>
      </c>
      <c r="AD8" s="4"/>
      <c r="AE8" s="4"/>
      <c r="AF8" s="4"/>
      <c r="AG8" s="4"/>
    </row>
    <row r="9" ht="19.5" customHeight="1">
      <c r="A9" s="69">
        <v>2.0</v>
      </c>
      <c r="B9" s="70" t="s">
        <v>44</v>
      </c>
      <c r="C9" s="71">
        <v>3.0</v>
      </c>
      <c r="D9" s="72">
        <v>1.0</v>
      </c>
      <c r="E9" s="72">
        <v>3.0</v>
      </c>
      <c r="F9" s="72">
        <v>1.0</v>
      </c>
      <c r="G9" s="72">
        <v>1.0</v>
      </c>
      <c r="H9" s="73">
        <v>3.0</v>
      </c>
      <c r="I9" s="74">
        <v>3.0</v>
      </c>
      <c r="J9" s="72">
        <v>3.0</v>
      </c>
      <c r="K9" s="72">
        <v>3.0</v>
      </c>
      <c r="L9" s="72">
        <v>3.0</v>
      </c>
      <c r="M9" s="72">
        <v>3.0</v>
      </c>
      <c r="N9" s="72">
        <v>1.0</v>
      </c>
      <c r="O9" s="72">
        <v>3.0</v>
      </c>
      <c r="P9" s="73">
        <v>3.0</v>
      </c>
      <c r="Q9" s="75">
        <v>1.0</v>
      </c>
      <c r="R9" s="73">
        <v>1.0</v>
      </c>
      <c r="S9" s="73">
        <v>1.0</v>
      </c>
      <c r="T9" s="73">
        <v>3.0</v>
      </c>
      <c r="U9" s="73">
        <v>1.0</v>
      </c>
      <c r="V9" s="76">
        <v>1.0</v>
      </c>
      <c r="W9" s="77">
        <f t="shared" si="1"/>
        <v>11</v>
      </c>
      <c r="X9" s="78">
        <f t="shared" si="2"/>
        <v>9</v>
      </c>
      <c r="Y9" s="79">
        <f t="shared" si="3"/>
        <v>0</v>
      </c>
      <c r="Z9" s="66" t="str">
        <f t="shared" si="4"/>
        <v>Inicio</v>
      </c>
      <c r="AA9" s="67" t="str">
        <f t="shared" si="5"/>
        <v>Logrado</v>
      </c>
      <c r="AB9" s="66" t="str">
        <f t="shared" si="6"/>
        <v>Previo al Inicio</v>
      </c>
      <c r="AC9" s="80" t="str">
        <f t="shared" si="7"/>
        <v>Proceso</v>
      </c>
      <c r="AD9" s="4"/>
      <c r="AE9" s="4"/>
      <c r="AF9" s="4"/>
      <c r="AG9" s="4"/>
    </row>
    <row r="10" ht="19.5" customHeight="1">
      <c r="A10" s="55">
        <v>3.0</v>
      </c>
      <c r="B10" s="70" t="s">
        <v>45</v>
      </c>
      <c r="C10" s="81">
        <v>3.0</v>
      </c>
      <c r="D10" s="82">
        <v>1.0</v>
      </c>
      <c r="E10" s="82">
        <v>3.0</v>
      </c>
      <c r="F10" s="82">
        <v>1.0</v>
      </c>
      <c r="G10" s="82">
        <v>1.0</v>
      </c>
      <c r="H10" s="83">
        <v>1.0</v>
      </c>
      <c r="I10" s="84">
        <v>3.0</v>
      </c>
      <c r="J10" s="82">
        <v>1.0</v>
      </c>
      <c r="K10" s="82">
        <v>3.0</v>
      </c>
      <c r="L10" s="82">
        <v>3.0</v>
      </c>
      <c r="M10" s="82">
        <v>3.0</v>
      </c>
      <c r="N10" s="82">
        <v>1.0</v>
      </c>
      <c r="O10" s="82">
        <v>3.0</v>
      </c>
      <c r="P10" s="83">
        <v>3.0</v>
      </c>
      <c r="Q10" s="85">
        <v>1.0</v>
      </c>
      <c r="R10" s="83">
        <v>1.0</v>
      </c>
      <c r="S10" s="83">
        <v>1.0</v>
      </c>
      <c r="T10" s="83">
        <v>3.0</v>
      </c>
      <c r="U10" s="83">
        <v>1.0</v>
      </c>
      <c r="V10" s="86">
        <v>1.0</v>
      </c>
      <c r="W10" s="87">
        <f t="shared" si="1"/>
        <v>9</v>
      </c>
      <c r="X10" s="88">
        <f t="shared" si="2"/>
        <v>11</v>
      </c>
      <c r="Y10" s="89">
        <f t="shared" si="3"/>
        <v>0</v>
      </c>
      <c r="Z10" s="66" t="str">
        <f t="shared" si="4"/>
        <v>Inicio</v>
      </c>
      <c r="AA10" s="67" t="str">
        <f t="shared" si="5"/>
        <v>Proceso</v>
      </c>
      <c r="AB10" s="66" t="str">
        <f t="shared" si="6"/>
        <v>Previo al Inicio</v>
      </c>
      <c r="AC10" s="80" t="str">
        <f t="shared" si="7"/>
        <v>Inicio</v>
      </c>
      <c r="AD10" s="4"/>
      <c r="AE10" s="4"/>
      <c r="AF10" s="4"/>
      <c r="AG10" s="4"/>
    </row>
    <row r="11" ht="19.5" customHeight="1">
      <c r="A11" s="69">
        <v>4.0</v>
      </c>
      <c r="B11" s="70" t="s">
        <v>46</v>
      </c>
      <c r="C11" s="71">
        <v>3.0</v>
      </c>
      <c r="D11" s="72">
        <v>1.0</v>
      </c>
      <c r="E11" s="72">
        <v>1.0</v>
      </c>
      <c r="F11" s="72">
        <v>1.0</v>
      </c>
      <c r="G11" s="72">
        <v>1.0</v>
      </c>
      <c r="H11" s="73">
        <v>1.0</v>
      </c>
      <c r="I11" s="74">
        <v>3.0</v>
      </c>
      <c r="J11" s="72">
        <v>3.0</v>
      </c>
      <c r="K11" s="72">
        <v>3.0</v>
      </c>
      <c r="L11" s="72">
        <v>3.0</v>
      </c>
      <c r="M11" s="72">
        <v>3.0</v>
      </c>
      <c r="N11" s="72">
        <v>1.0</v>
      </c>
      <c r="O11" s="72">
        <v>3.0</v>
      </c>
      <c r="P11" s="73">
        <v>3.0</v>
      </c>
      <c r="Q11" s="75">
        <v>1.0</v>
      </c>
      <c r="R11" s="73">
        <v>1.0</v>
      </c>
      <c r="S11" s="73">
        <v>3.0</v>
      </c>
      <c r="T11" s="73">
        <v>3.0</v>
      </c>
      <c r="U11" s="73">
        <v>1.0</v>
      </c>
      <c r="V11" s="76">
        <v>1.0</v>
      </c>
      <c r="W11" s="77">
        <f t="shared" si="1"/>
        <v>10</v>
      </c>
      <c r="X11" s="78">
        <f t="shared" si="2"/>
        <v>10</v>
      </c>
      <c r="Y11" s="79">
        <f t="shared" si="3"/>
        <v>0</v>
      </c>
      <c r="Z11" s="66" t="str">
        <f t="shared" si="4"/>
        <v>Previo al Inicio</v>
      </c>
      <c r="AA11" s="67" t="str">
        <f t="shared" si="5"/>
        <v>Logrado</v>
      </c>
      <c r="AB11" s="66" t="str">
        <f t="shared" si="6"/>
        <v>Inicio</v>
      </c>
      <c r="AC11" s="80" t="str">
        <f t="shared" si="7"/>
        <v>Inicio</v>
      </c>
      <c r="AD11" s="4"/>
      <c r="AE11" s="4"/>
      <c r="AF11" s="4"/>
      <c r="AG11" s="4"/>
    </row>
    <row r="12" ht="19.5" customHeight="1">
      <c r="A12" s="55">
        <v>5.0</v>
      </c>
      <c r="B12" s="70" t="s">
        <v>47</v>
      </c>
      <c r="C12" s="81">
        <v>3.0</v>
      </c>
      <c r="D12" s="82">
        <v>1.0</v>
      </c>
      <c r="E12" s="82">
        <v>3.0</v>
      </c>
      <c r="F12" s="82">
        <v>1.0</v>
      </c>
      <c r="G12" s="82">
        <v>1.0</v>
      </c>
      <c r="H12" s="83">
        <v>1.0</v>
      </c>
      <c r="I12" s="84">
        <v>3.0</v>
      </c>
      <c r="J12" s="82">
        <v>3.0</v>
      </c>
      <c r="K12" s="82">
        <v>3.0</v>
      </c>
      <c r="L12" s="82">
        <v>3.0</v>
      </c>
      <c r="M12" s="82">
        <v>3.0</v>
      </c>
      <c r="N12" s="82">
        <v>1.0</v>
      </c>
      <c r="O12" s="82">
        <v>3.0</v>
      </c>
      <c r="P12" s="83">
        <v>3.0</v>
      </c>
      <c r="Q12" s="85">
        <v>0.0</v>
      </c>
      <c r="R12" s="83">
        <v>1.0</v>
      </c>
      <c r="S12" s="83">
        <v>3.0</v>
      </c>
      <c r="T12" s="83">
        <v>3.0</v>
      </c>
      <c r="U12" s="83">
        <v>1.0</v>
      </c>
      <c r="V12" s="86">
        <v>3.0</v>
      </c>
      <c r="W12" s="87">
        <f t="shared" si="1"/>
        <v>12</v>
      </c>
      <c r="X12" s="88">
        <f t="shared" si="2"/>
        <v>7</v>
      </c>
      <c r="Y12" s="89">
        <f t="shared" si="3"/>
        <v>1</v>
      </c>
      <c r="Z12" s="66" t="str">
        <f t="shared" si="4"/>
        <v>Inicio</v>
      </c>
      <c r="AA12" s="67" t="str">
        <f t="shared" si="5"/>
        <v>Logrado</v>
      </c>
      <c r="AB12" s="66" t="str">
        <f t="shared" si="6"/>
        <v>Inicio</v>
      </c>
      <c r="AC12" s="80" t="str">
        <f t="shared" si="7"/>
        <v>Proceso</v>
      </c>
      <c r="AD12" s="4"/>
      <c r="AE12" s="4"/>
      <c r="AF12" s="4"/>
      <c r="AG12" s="4"/>
    </row>
    <row r="13" ht="19.5" customHeight="1">
      <c r="A13" s="69">
        <v>6.0</v>
      </c>
      <c r="B13" s="70" t="s">
        <v>48</v>
      </c>
      <c r="C13" s="71">
        <v>3.0</v>
      </c>
      <c r="D13" s="72">
        <v>1.0</v>
      </c>
      <c r="E13" s="72">
        <v>1.0</v>
      </c>
      <c r="F13" s="72">
        <v>1.0</v>
      </c>
      <c r="G13" s="72">
        <v>1.0</v>
      </c>
      <c r="H13" s="73">
        <v>1.0</v>
      </c>
      <c r="I13" s="74">
        <v>3.0</v>
      </c>
      <c r="J13" s="72">
        <v>3.0</v>
      </c>
      <c r="K13" s="72">
        <v>3.0</v>
      </c>
      <c r="L13" s="72">
        <v>3.0</v>
      </c>
      <c r="M13" s="72">
        <v>3.0</v>
      </c>
      <c r="N13" s="72">
        <v>1.0</v>
      </c>
      <c r="O13" s="72">
        <v>3.0</v>
      </c>
      <c r="P13" s="73">
        <v>3.0</v>
      </c>
      <c r="Q13" s="75">
        <v>1.0</v>
      </c>
      <c r="R13" s="73">
        <v>1.0</v>
      </c>
      <c r="S13" s="73">
        <v>1.0</v>
      </c>
      <c r="T13" s="73">
        <v>1.0</v>
      </c>
      <c r="U13" s="73">
        <v>3.0</v>
      </c>
      <c r="V13" s="76">
        <v>1.0</v>
      </c>
      <c r="W13" s="77">
        <f t="shared" si="1"/>
        <v>9</v>
      </c>
      <c r="X13" s="78">
        <f t="shared" si="2"/>
        <v>11</v>
      </c>
      <c r="Y13" s="79">
        <f t="shared" si="3"/>
        <v>0</v>
      </c>
      <c r="Z13" s="66" t="str">
        <f t="shared" si="4"/>
        <v>Previo al Inicio</v>
      </c>
      <c r="AA13" s="67" t="str">
        <f t="shared" si="5"/>
        <v>Logrado</v>
      </c>
      <c r="AB13" s="66" t="str">
        <f t="shared" si="6"/>
        <v>Previo al Inicio</v>
      </c>
      <c r="AC13" s="80" t="str">
        <f t="shared" si="7"/>
        <v>Inicio</v>
      </c>
      <c r="AD13" s="4"/>
      <c r="AE13" s="4"/>
      <c r="AF13" s="4"/>
      <c r="AG13" s="4"/>
    </row>
    <row r="14" ht="19.5" customHeight="1">
      <c r="A14" s="55">
        <v>7.0</v>
      </c>
      <c r="B14" s="70" t="s">
        <v>49</v>
      </c>
      <c r="C14" s="81">
        <v>3.0</v>
      </c>
      <c r="D14" s="82">
        <v>3.0</v>
      </c>
      <c r="E14" s="82">
        <v>3.0</v>
      </c>
      <c r="F14" s="82">
        <v>1.0</v>
      </c>
      <c r="G14" s="82">
        <v>1.0</v>
      </c>
      <c r="H14" s="83">
        <v>1.0</v>
      </c>
      <c r="I14" s="84">
        <v>3.0</v>
      </c>
      <c r="J14" s="82">
        <v>3.0</v>
      </c>
      <c r="K14" s="82">
        <v>3.0</v>
      </c>
      <c r="L14" s="82">
        <v>3.0</v>
      </c>
      <c r="M14" s="82">
        <v>3.0</v>
      </c>
      <c r="N14" s="82">
        <v>1.0</v>
      </c>
      <c r="O14" s="82">
        <v>1.0</v>
      </c>
      <c r="P14" s="83">
        <v>3.0</v>
      </c>
      <c r="Q14" s="85">
        <v>1.0</v>
      </c>
      <c r="R14" s="83">
        <v>1.0</v>
      </c>
      <c r="S14" s="83">
        <v>3.0</v>
      </c>
      <c r="T14" s="83">
        <v>3.0</v>
      </c>
      <c r="U14" s="83">
        <v>3.0</v>
      </c>
      <c r="V14" s="86">
        <v>1.0</v>
      </c>
      <c r="W14" s="87">
        <f t="shared" si="1"/>
        <v>12</v>
      </c>
      <c r="X14" s="88">
        <f t="shared" si="2"/>
        <v>8</v>
      </c>
      <c r="Y14" s="89">
        <f t="shared" si="3"/>
        <v>0</v>
      </c>
      <c r="Z14" s="66" t="str">
        <f t="shared" si="4"/>
        <v>Inicio</v>
      </c>
      <c r="AA14" s="67" t="str">
        <f t="shared" si="5"/>
        <v>Proceso</v>
      </c>
      <c r="AB14" s="66" t="str">
        <f t="shared" si="6"/>
        <v>Inicio</v>
      </c>
      <c r="AC14" s="80" t="str">
        <f t="shared" si="7"/>
        <v>Proceso</v>
      </c>
      <c r="AD14" s="4"/>
      <c r="AE14" s="4"/>
      <c r="AF14" s="4"/>
      <c r="AG14" s="4"/>
    </row>
    <row r="15" ht="19.5" customHeight="1">
      <c r="A15" s="69">
        <v>8.0</v>
      </c>
      <c r="B15" s="70" t="s">
        <v>50</v>
      </c>
      <c r="C15" s="71">
        <v>3.0</v>
      </c>
      <c r="D15" s="72">
        <v>1.0</v>
      </c>
      <c r="E15" s="72">
        <v>3.0</v>
      </c>
      <c r="F15" s="72">
        <v>1.0</v>
      </c>
      <c r="G15" s="72">
        <v>1.0</v>
      </c>
      <c r="H15" s="73">
        <v>3.0</v>
      </c>
      <c r="I15" s="74">
        <v>3.0</v>
      </c>
      <c r="J15" s="72">
        <v>1.0</v>
      </c>
      <c r="K15" s="72">
        <v>3.0</v>
      </c>
      <c r="L15" s="72">
        <v>3.0</v>
      </c>
      <c r="M15" s="72">
        <v>3.0</v>
      </c>
      <c r="N15" s="72">
        <v>1.0</v>
      </c>
      <c r="O15" s="72">
        <v>3.0</v>
      </c>
      <c r="P15" s="73">
        <v>3.0</v>
      </c>
      <c r="Q15" s="75">
        <v>1.0</v>
      </c>
      <c r="R15" s="73">
        <v>1.0</v>
      </c>
      <c r="S15" s="73">
        <v>3.0</v>
      </c>
      <c r="T15" s="73">
        <v>3.0</v>
      </c>
      <c r="U15" s="73">
        <v>1.0</v>
      </c>
      <c r="V15" s="76">
        <v>1.0</v>
      </c>
      <c r="W15" s="77">
        <f t="shared" si="1"/>
        <v>11</v>
      </c>
      <c r="X15" s="78">
        <f t="shared" si="2"/>
        <v>9</v>
      </c>
      <c r="Y15" s="79">
        <f t="shared" si="3"/>
        <v>0</v>
      </c>
      <c r="Z15" s="66" t="str">
        <f t="shared" si="4"/>
        <v>Inicio</v>
      </c>
      <c r="AA15" s="67" t="str">
        <f t="shared" si="5"/>
        <v>Proceso</v>
      </c>
      <c r="AB15" s="66" t="str">
        <f t="shared" si="6"/>
        <v>Inicio</v>
      </c>
      <c r="AC15" s="80" t="str">
        <f t="shared" si="7"/>
        <v>Proceso</v>
      </c>
      <c r="AD15" s="4"/>
      <c r="AE15" s="4"/>
      <c r="AF15" s="4"/>
      <c r="AG15" s="4"/>
    </row>
    <row r="16" ht="19.5" customHeight="1">
      <c r="A16" s="55">
        <v>9.0</v>
      </c>
      <c r="B16" s="70" t="s">
        <v>51</v>
      </c>
      <c r="C16" s="81">
        <v>3.0</v>
      </c>
      <c r="D16" s="82">
        <v>1.0</v>
      </c>
      <c r="E16" s="82">
        <v>1.0</v>
      </c>
      <c r="F16" s="82">
        <v>1.0</v>
      </c>
      <c r="G16" s="82">
        <v>1.0</v>
      </c>
      <c r="H16" s="83">
        <v>1.0</v>
      </c>
      <c r="I16" s="84">
        <v>3.0</v>
      </c>
      <c r="J16" s="82">
        <v>3.0</v>
      </c>
      <c r="K16" s="82">
        <v>3.0</v>
      </c>
      <c r="L16" s="82">
        <v>3.0</v>
      </c>
      <c r="M16" s="82">
        <v>3.0</v>
      </c>
      <c r="N16" s="82">
        <v>0.0</v>
      </c>
      <c r="O16" s="82">
        <v>1.0</v>
      </c>
      <c r="P16" s="83">
        <v>1.0</v>
      </c>
      <c r="Q16" s="85">
        <v>1.0</v>
      </c>
      <c r="R16" s="83">
        <v>1.0</v>
      </c>
      <c r="S16" s="83">
        <v>3.0</v>
      </c>
      <c r="T16" s="83">
        <v>3.0</v>
      </c>
      <c r="U16" s="83">
        <v>3.0</v>
      </c>
      <c r="V16" s="86">
        <v>1.0</v>
      </c>
      <c r="W16" s="87">
        <f t="shared" si="1"/>
        <v>9</v>
      </c>
      <c r="X16" s="88">
        <f t="shared" si="2"/>
        <v>10</v>
      </c>
      <c r="Y16" s="89">
        <f t="shared" si="3"/>
        <v>1</v>
      </c>
      <c r="Z16" s="66" t="str">
        <f t="shared" si="4"/>
        <v>Previo al Inicio</v>
      </c>
      <c r="AA16" s="67" t="str">
        <f t="shared" si="5"/>
        <v>Proceso</v>
      </c>
      <c r="AB16" s="66" t="str">
        <f t="shared" si="6"/>
        <v>Inicio</v>
      </c>
      <c r="AC16" s="80" t="str">
        <f t="shared" si="7"/>
        <v>Inicio</v>
      </c>
      <c r="AD16" s="4"/>
      <c r="AE16" s="4"/>
      <c r="AF16" s="4"/>
      <c r="AG16" s="4"/>
    </row>
    <row r="17" ht="19.5" customHeight="1">
      <c r="A17" s="69">
        <v>10.0</v>
      </c>
      <c r="B17" s="70" t="s">
        <v>52</v>
      </c>
      <c r="C17" s="71">
        <v>3.0</v>
      </c>
      <c r="D17" s="72">
        <v>1.0</v>
      </c>
      <c r="E17" s="72">
        <v>3.0</v>
      </c>
      <c r="F17" s="72">
        <v>1.0</v>
      </c>
      <c r="G17" s="72">
        <v>3.0</v>
      </c>
      <c r="H17" s="73">
        <v>1.0</v>
      </c>
      <c r="I17" s="74">
        <v>3.0</v>
      </c>
      <c r="J17" s="72">
        <v>3.0</v>
      </c>
      <c r="K17" s="72">
        <v>3.0</v>
      </c>
      <c r="L17" s="72">
        <v>3.0</v>
      </c>
      <c r="M17" s="72">
        <v>3.0</v>
      </c>
      <c r="N17" s="72">
        <v>0.0</v>
      </c>
      <c r="O17" s="72">
        <v>3.0</v>
      </c>
      <c r="P17" s="73">
        <v>3.0</v>
      </c>
      <c r="Q17" s="75">
        <v>3.0</v>
      </c>
      <c r="R17" s="73">
        <v>1.0</v>
      </c>
      <c r="S17" s="73">
        <v>3.0</v>
      </c>
      <c r="T17" s="73">
        <v>3.0</v>
      </c>
      <c r="U17" s="73">
        <v>1.0</v>
      </c>
      <c r="V17" s="76">
        <v>3.0</v>
      </c>
      <c r="W17" s="77">
        <f t="shared" si="1"/>
        <v>14</v>
      </c>
      <c r="X17" s="78">
        <f t="shared" si="2"/>
        <v>5</v>
      </c>
      <c r="Y17" s="79">
        <f t="shared" si="3"/>
        <v>1</v>
      </c>
      <c r="Z17" s="66" t="str">
        <f t="shared" si="4"/>
        <v>Inicio</v>
      </c>
      <c r="AA17" s="67" t="str">
        <f t="shared" si="5"/>
        <v>Logrado</v>
      </c>
      <c r="AB17" s="66" t="str">
        <f t="shared" si="6"/>
        <v>Proceso</v>
      </c>
      <c r="AC17" s="80" t="str">
        <f t="shared" si="7"/>
        <v>Proceso</v>
      </c>
      <c r="AD17" s="4"/>
      <c r="AE17" s="4"/>
      <c r="AF17" s="4"/>
      <c r="AG17" s="4"/>
    </row>
    <row r="18" ht="19.5" customHeight="1">
      <c r="A18" s="55">
        <v>11.0</v>
      </c>
      <c r="B18" s="70" t="s">
        <v>53</v>
      </c>
      <c r="C18" s="81">
        <v>3.0</v>
      </c>
      <c r="D18" s="82">
        <v>1.0</v>
      </c>
      <c r="E18" s="82">
        <v>3.0</v>
      </c>
      <c r="F18" s="82">
        <v>1.0</v>
      </c>
      <c r="G18" s="82">
        <v>1.0</v>
      </c>
      <c r="H18" s="83">
        <v>1.0</v>
      </c>
      <c r="I18" s="84">
        <v>3.0</v>
      </c>
      <c r="J18" s="82">
        <v>3.0</v>
      </c>
      <c r="K18" s="82">
        <v>3.0</v>
      </c>
      <c r="L18" s="82">
        <v>3.0</v>
      </c>
      <c r="M18" s="82">
        <v>3.0</v>
      </c>
      <c r="N18" s="82">
        <v>1.0</v>
      </c>
      <c r="O18" s="82">
        <v>3.0</v>
      </c>
      <c r="P18" s="83">
        <v>3.0</v>
      </c>
      <c r="Q18" s="85">
        <v>3.0</v>
      </c>
      <c r="R18" s="83">
        <v>1.0</v>
      </c>
      <c r="S18" s="83">
        <v>1.0</v>
      </c>
      <c r="T18" s="83">
        <v>3.0</v>
      </c>
      <c r="U18" s="83">
        <v>1.0</v>
      </c>
      <c r="V18" s="86">
        <v>1.0</v>
      </c>
      <c r="W18" s="87">
        <f t="shared" si="1"/>
        <v>11</v>
      </c>
      <c r="X18" s="88">
        <f t="shared" si="2"/>
        <v>9</v>
      </c>
      <c r="Y18" s="89">
        <f t="shared" si="3"/>
        <v>0</v>
      </c>
      <c r="Z18" s="66" t="str">
        <f t="shared" si="4"/>
        <v>Inicio</v>
      </c>
      <c r="AA18" s="67" t="str">
        <f t="shared" si="5"/>
        <v>Logrado</v>
      </c>
      <c r="AB18" s="66" t="str">
        <f t="shared" si="6"/>
        <v>Inicio</v>
      </c>
      <c r="AC18" s="80" t="str">
        <f t="shared" si="7"/>
        <v>Proceso</v>
      </c>
      <c r="AD18" s="4"/>
      <c r="AE18" s="4"/>
      <c r="AF18" s="4"/>
      <c r="AG18" s="4"/>
    </row>
    <row r="19" ht="19.5" customHeight="1">
      <c r="A19" s="69">
        <v>12.0</v>
      </c>
      <c r="B19" s="70" t="s">
        <v>54</v>
      </c>
      <c r="C19" s="71">
        <v>3.0</v>
      </c>
      <c r="D19" s="72">
        <v>3.0</v>
      </c>
      <c r="E19" s="72">
        <v>3.0</v>
      </c>
      <c r="F19" s="72">
        <v>1.0</v>
      </c>
      <c r="G19" s="72">
        <v>1.0</v>
      </c>
      <c r="H19" s="73">
        <v>3.0</v>
      </c>
      <c r="I19" s="74">
        <v>3.0</v>
      </c>
      <c r="J19" s="72">
        <v>3.0</v>
      </c>
      <c r="K19" s="72">
        <v>3.0</v>
      </c>
      <c r="L19" s="72">
        <v>3.0</v>
      </c>
      <c r="M19" s="72">
        <v>3.0</v>
      </c>
      <c r="N19" s="72">
        <v>1.0</v>
      </c>
      <c r="O19" s="72">
        <v>3.0</v>
      </c>
      <c r="P19" s="73">
        <v>3.0</v>
      </c>
      <c r="Q19" s="75">
        <v>3.0</v>
      </c>
      <c r="R19" s="73">
        <v>1.0</v>
      </c>
      <c r="S19" s="73">
        <v>1.0</v>
      </c>
      <c r="T19" s="73">
        <v>3.0</v>
      </c>
      <c r="U19" s="73">
        <v>1.0</v>
      </c>
      <c r="V19" s="76">
        <v>1.0</v>
      </c>
      <c r="W19" s="77">
        <f t="shared" si="1"/>
        <v>13</v>
      </c>
      <c r="X19" s="78">
        <f t="shared" si="2"/>
        <v>7</v>
      </c>
      <c r="Y19" s="79">
        <f t="shared" si="3"/>
        <v>0</v>
      </c>
      <c r="Z19" s="66" t="str">
        <f t="shared" si="4"/>
        <v>Proceso</v>
      </c>
      <c r="AA19" s="67" t="str">
        <f t="shared" si="5"/>
        <v>Logrado</v>
      </c>
      <c r="AB19" s="66" t="str">
        <f t="shared" si="6"/>
        <v>Inicio</v>
      </c>
      <c r="AC19" s="80" t="str">
        <f t="shared" si="7"/>
        <v>Proceso</v>
      </c>
      <c r="AD19" s="4"/>
      <c r="AE19" s="4"/>
      <c r="AF19" s="4"/>
      <c r="AG19" s="4"/>
    </row>
    <row r="20" ht="19.5" customHeight="1">
      <c r="A20" s="55">
        <v>13.0</v>
      </c>
      <c r="B20" s="70" t="s">
        <v>55</v>
      </c>
      <c r="C20" s="81">
        <v>3.0</v>
      </c>
      <c r="D20" s="82">
        <v>1.0</v>
      </c>
      <c r="E20" s="82">
        <v>1.0</v>
      </c>
      <c r="F20" s="82">
        <v>1.0</v>
      </c>
      <c r="G20" s="82">
        <v>1.0</v>
      </c>
      <c r="H20" s="83">
        <v>1.0</v>
      </c>
      <c r="I20" s="84">
        <v>3.0</v>
      </c>
      <c r="J20" s="82">
        <v>1.0</v>
      </c>
      <c r="K20" s="82">
        <v>3.0</v>
      </c>
      <c r="L20" s="82">
        <v>3.0</v>
      </c>
      <c r="M20" s="82">
        <v>3.0</v>
      </c>
      <c r="N20" s="82">
        <v>1.0</v>
      </c>
      <c r="O20" s="82">
        <v>3.0</v>
      </c>
      <c r="P20" s="83">
        <v>3.0</v>
      </c>
      <c r="Q20" s="85">
        <v>1.0</v>
      </c>
      <c r="R20" s="83">
        <v>1.0</v>
      </c>
      <c r="S20" s="83">
        <v>1.0</v>
      </c>
      <c r="T20" s="83">
        <v>3.0</v>
      </c>
      <c r="U20" s="83">
        <v>3.0</v>
      </c>
      <c r="V20" s="86">
        <v>1.0</v>
      </c>
      <c r="W20" s="87">
        <f t="shared" si="1"/>
        <v>9</v>
      </c>
      <c r="X20" s="88">
        <f t="shared" si="2"/>
        <v>11</v>
      </c>
      <c r="Y20" s="89">
        <f t="shared" si="3"/>
        <v>0</v>
      </c>
      <c r="Z20" s="66" t="str">
        <f t="shared" si="4"/>
        <v>Previo al Inicio</v>
      </c>
      <c r="AA20" s="67" t="str">
        <f t="shared" si="5"/>
        <v>Proceso</v>
      </c>
      <c r="AB20" s="66" t="str">
        <f t="shared" si="6"/>
        <v>Inicio</v>
      </c>
      <c r="AC20" s="80" t="str">
        <f t="shared" si="7"/>
        <v>Inicio</v>
      </c>
      <c r="AD20" s="4"/>
      <c r="AE20" s="4"/>
      <c r="AF20" s="4"/>
      <c r="AG20" s="4"/>
    </row>
    <row r="21" ht="19.5" customHeight="1">
      <c r="A21" s="69">
        <v>14.0</v>
      </c>
      <c r="B21" s="70" t="s">
        <v>56</v>
      </c>
      <c r="C21" s="71">
        <v>3.0</v>
      </c>
      <c r="D21" s="72">
        <v>1.0</v>
      </c>
      <c r="E21" s="72">
        <v>1.0</v>
      </c>
      <c r="F21" s="72">
        <v>1.0</v>
      </c>
      <c r="G21" s="72">
        <v>1.0</v>
      </c>
      <c r="H21" s="73">
        <v>0.0</v>
      </c>
      <c r="I21" s="74">
        <v>3.0</v>
      </c>
      <c r="J21" s="72">
        <v>3.0</v>
      </c>
      <c r="K21" s="72">
        <v>3.0</v>
      </c>
      <c r="L21" s="72">
        <v>3.0</v>
      </c>
      <c r="M21" s="72">
        <v>3.0</v>
      </c>
      <c r="N21" s="72">
        <v>0.0</v>
      </c>
      <c r="O21" s="72">
        <v>3.0</v>
      </c>
      <c r="P21" s="73">
        <v>3.0</v>
      </c>
      <c r="Q21" s="75">
        <v>1.0</v>
      </c>
      <c r="R21" s="73">
        <v>1.0</v>
      </c>
      <c r="S21" s="73">
        <v>1.0</v>
      </c>
      <c r="T21" s="73">
        <v>1.0</v>
      </c>
      <c r="U21" s="73">
        <v>1.0</v>
      </c>
      <c r="V21" s="76">
        <v>1.0</v>
      </c>
      <c r="W21" s="77">
        <f t="shared" si="1"/>
        <v>8</v>
      </c>
      <c r="X21" s="78">
        <f t="shared" si="2"/>
        <v>10</v>
      </c>
      <c r="Y21" s="79">
        <f t="shared" si="3"/>
        <v>2</v>
      </c>
      <c r="Z21" s="66" t="str">
        <f t="shared" si="4"/>
        <v>Previo al Inicio</v>
      </c>
      <c r="AA21" s="67" t="str">
        <f t="shared" si="5"/>
        <v>Logrado</v>
      </c>
      <c r="AB21" s="66" t="str">
        <f t="shared" si="6"/>
        <v>Previo al Inicio</v>
      </c>
      <c r="AC21" s="80" t="str">
        <f t="shared" si="7"/>
        <v>Inicio</v>
      </c>
      <c r="AD21" s="4"/>
      <c r="AE21" s="4"/>
      <c r="AF21" s="4"/>
      <c r="AG21" s="4"/>
    </row>
    <row r="22" ht="19.5" customHeight="1">
      <c r="A22" s="55">
        <v>15.0</v>
      </c>
      <c r="B22" s="70" t="s">
        <v>57</v>
      </c>
      <c r="C22" s="81">
        <v>3.0</v>
      </c>
      <c r="D22" s="82">
        <v>3.0</v>
      </c>
      <c r="E22" s="82">
        <v>3.0</v>
      </c>
      <c r="F22" s="82">
        <v>3.0</v>
      </c>
      <c r="G22" s="82">
        <v>1.0</v>
      </c>
      <c r="H22" s="83">
        <v>1.0</v>
      </c>
      <c r="I22" s="84">
        <v>3.0</v>
      </c>
      <c r="J22" s="82">
        <v>3.0</v>
      </c>
      <c r="K22" s="82">
        <v>3.0</v>
      </c>
      <c r="L22" s="82">
        <v>3.0</v>
      </c>
      <c r="M22" s="82">
        <v>3.0</v>
      </c>
      <c r="N22" s="82">
        <v>0.0</v>
      </c>
      <c r="O22" s="82">
        <v>3.0</v>
      </c>
      <c r="P22" s="83">
        <v>3.0</v>
      </c>
      <c r="Q22" s="85">
        <v>1.0</v>
      </c>
      <c r="R22" s="83">
        <v>1.0</v>
      </c>
      <c r="S22" s="83">
        <v>1.0</v>
      </c>
      <c r="T22" s="83">
        <v>3.0</v>
      </c>
      <c r="U22" s="83">
        <v>3.0</v>
      </c>
      <c r="V22" s="86">
        <v>1.0</v>
      </c>
      <c r="W22" s="87">
        <f t="shared" si="1"/>
        <v>13</v>
      </c>
      <c r="X22" s="88">
        <f t="shared" si="2"/>
        <v>6</v>
      </c>
      <c r="Y22" s="89">
        <f t="shared" si="3"/>
        <v>1</v>
      </c>
      <c r="Z22" s="66" t="str">
        <f t="shared" si="4"/>
        <v>Proceso</v>
      </c>
      <c r="AA22" s="67" t="str">
        <f t="shared" si="5"/>
        <v>Logrado</v>
      </c>
      <c r="AB22" s="66" t="str">
        <f t="shared" si="6"/>
        <v>Inicio</v>
      </c>
      <c r="AC22" s="80" t="str">
        <f t="shared" si="7"/>
        <v>Proceso</v>
      </c>
      <c r="AD22" s="4"/>
      <c r="AE22" s="4"/>
      <c r="AF22" s="4"/>
      <c r="AG22" s="4"/>
    </row>
    <row r="23" ht="19.5" customHeight="1">
      <c r="A23" s="69">
        <v>16.0</v>
      </c>
      <c r="B23" s="70" t="s">
        <v>58</v>
      </c>
      <c r="C23" s="71">
        <v>3.0</v>
      </c>
      <c r="D23" s="72">
        <v>3.0</v>
      </c>
      <c r="E23" s="72">
        <v>3.0</v>
      </c>
      <c r="F23" s="72">
        <v>1.0</v>
      </c>
      <c r="G23" s="72">
        <v>1.0</v>
      </c>
      <c r="H23" s="73">
        <v>3.0</v>
      </c>
      <c r="I23" s="74">
        <v>3.0</v>
      </c>
      <c r="J23" s="72">
        <v>3.0</v>
      </c>
      <c r="K23" s="72">
        <v>3.0</v>
      </c>
      <c r="L23" s="72">
        <v>3.0</v>
      </c>
      <c r="M23" s="72">
        <v>1.0</v>
      </c>
      <c r="N23" s="72">
        <v>1.0</v>
      </c>
      <c r="O23" s="72">
        <v>3.0</v>
      </c>
      <c r="P23" s="73">
        <v>3.0</v>
      </c>
      <c r="Q23" s="75">
        <v>1.0</v>
      </c>
      <c r="R23" s="73">
        <v>1.0</v>
      </c>
      <c r="S23" s="73">
        <v>3.0</v>
      </c>
      <c r="T23" s="73">
        <v>3.0</v>
      </c>
      <c r="U23" s="73">
        <v>1.0</v>
      </c>
      <c r="V23" s="76">
        <v>3.0</v>
      </c>
      <c r="W23" s="77">
        <f t="shared" si="1"/>
        <v>13</v>
      </c>
      <c r="X23" s="78">
        <f t="shared" si="2"/>
        <v>7</v>
      </c>
      <c r="Y23" s="79">
        <f t="shared" si="3"/>
        <v>0</v>
      </c>
      <c r="Z23" s="66" t="str">
        <f t="shared" si="4"/>
        <v>Proceso</v>
      </c>
      <c r="AA23" s="67" t="str">
        <f t="shared" si="5"/>
        <v>Proceso</v>
      </c>
      <c r="AB23" s="66" t="str">
        <f t="shared" si="6"/>
        <v>Inicio</v>
      </c>
      <c r="AC23" s="80" t="str">
        <f t="shared" si="7"/>
        <v>Proceso</v>
      </c>
      <c r="AD23" s="4"/>
      <c r="AE23" s="4"/>
      <c r="AF23" s="4"/>
      <c r="AG23" s="4" t="s">
        <v>59</v>
      </c>
    </row>
    <row r="24" ht="19.5" customHeight="1">
      <c r="A24" s="55">
        <v>17.0</v>
      </c>
      <c r="B24" s="70" t="s">
        <v>60</v>
      </c>
      <c r="C24" s="81">
        <v>3.0</v>
      </c>
      <c r="D24" s="82">
        <v>1.0</v>
      </c>
      <c r="E24" s="82">
        <v>1.0</v>
      </c>
      <c r="F24" s="82">
        <v>1.0</v>
      </c>
      <c r="G24" s="82">
        <v>1.0</v>
      </c>
      <c r="H24" s="83">
        <v>1.0</v>
      </c>
      <c r="I24" s="84">
        <v>3.0</v>
      </c>
      <c r="J24" s="82">
        <v>3.0</v>
      </c>
      <c r="K24" s="82">
        <v>3.0</v>
      </c>
      <c r="L24" s="82">
        <v>3.0</v>
      </c>
      <c r="M24" s="82">
        <v>3.0</v>
      </c>
      <c r="N24" s="82">
        <v>1.0</v>
      </c>
      <c r="O24" s="82">
        <v>3.0</v>
      </c>
      <c r="P24" s="83">
        <v>1.0</v>
      </c>
      <c r="Q24" s="85">
        <v>1.0</v>
      </c>
      <c r="R24" s="83">
        <v>1.0</v>
      </c>
      <c r="S24" s="83">
        <v>1.0</v>
      </c>
      <c r="T24" s="83">
        <v>1.0</v>
      </c>
      <c r="U24" s="83">
        <v>1.0</v>
      </c>
      <c r="V24" s="86">
        <v>1.0</v>
      </c>
      <c r="W24" s="87">
        <f t="shared" si="1"/>
        <v>7</v>
      </c>
      <c r="X24" s="88">
        <f t="shared" si="2"/>
        <v>13</v>
      </c>
      <c r="Y24" s="89">
        <f t="shared" si="3"/>
        <v>0</v>
      </c>
      <c r="Z24" s="66" t="str">
        <f t="shared" si="4"/>
        <v>Previo al Inicio</v>
      </c>
      <c r="AA24" s="67" t="str">
        <f t="shared" si="5"/>
        <v>Proceso</v>
      </c>
      <c r="AB24" s="66" t="str">
        <f t="shared" si="6"/>
        <v>Previo al Inicio</v>
      </c>
      <c r="AC24" s="80" t="str">
        <f t="shared" si="7"/>
        <v>Inicio</v>
      </c>
      <c r="AD24" s="4"/>
      <c r="AE24" s="4"/>
      <c r="AF24" s="4"/>
      <c r="AG24" s="4"/>
    </row>
    <row r="25" ht="19.5" customHeight="1">
      <c r="A25" s="69">
        <v>18.0</v>
      </c>
      <c r="B25" s="70" t="s">
        <v>61</v>
      </c>
      <c r="C25" s="71">
        <v>3.0</v>
      </c>
      <c r="D25" s="72">
        <v>1.0</v>
      </c>
      <c r="E25" s="72">
        <v>3.0</v>
      </c>
      <c r="F25" s="72">
        <v>1.0</v>
      </c>
      <c r="G25" s="72">
        <v>1.0</v>
      </c>
      <c r="H25" s="73">
        <v>1.0</v>
      </c>
      <c r="I25" s="74">
        <v>3.0</v>
      </c>
      <c r="J25" s="72">
        <v>3.0</v>
      </c>
      <c r="K25" s="72">
        <v>1.0</v>
      </c>
      <c r="L25" s="72">
        <v>3.0</v>
      </c>
      <c r="M25" s="72">
        <v>3.0</v>
      </c>
      <c r="N25" s="72">
        <v>3.0</v>
      </c>
      <c r="O25" s="72">
        <v>3.0</v>
      </c>
      <c r="P25" s="73">
        <v>3.0</v>
      </c>
      <c r="Q25" s="75">
        <v>1.0</v>
      </c>
      <c r="R25" s="73">
        <v>1.0</v>
      </c>
      <c r="S25" s="73">
        <v>1.0</v>
      </c>
      <c r="T25" s="73">
        <v>3.0</v>
      </c>
      <c r="U25" s="73">
        <v>1.0</v>
      </c>
      <c r="V25" s="76">
        <v>1.0</v>
      </c>
      <c r="W25" s="77">
        <f t="shared" si="1"/>
        <v>10</v>
      </c>
      <c r="X25" s="78">
        <f t="shared" si="2"/>
        <v>10</v>
      </c>
      <c r="Y25" s="79">
        <f t="shared" si="3"/>
        <v>0</v>
      </c>
      <c r="Z25" s="66" t="str">
        <f t="shared" si="4"/>
        <v>Inicio</v>
      </c>
      <c r="AA25" s="67" t="str">
        <f t="shared" si="5"/>
        <v>Logrado</v>
      </c>
      <c r="AB25" s="66" t="str">
        <f t="shared" si="6"/>
        <v>Previo al Inicio</v>
      </c>
      <c r="AC25" s="80" t="str">
        <f t="shared" si="7"/>
        <v>Inicio</v>
      </c>
      <c r="AD25" s="4"/>
      <c r="AE25" s="4"/>
      <c r="AF25" s="4"/>
      <c r="AG25" s="4"/>
    </row>
    <row r="26" ht="19.5" customHeight="1">
      <c r="A26" s="55">
        <v>19.0</v>
      </c>
      <c r="B26" s="70" t="s">
        <v>62</v>
      </c>
      <c r="C26" s="81">
        <v>1.0</v>
      </c>
      <c r="D26" s="82">
        <v>3.0</v>
      </c>
      <c r="E26" s="82">
        <v>3.0</v>
      </c>
      <c r="F26" s="82">
        <v>1.0</v>
      </c>
      <c r="G26" s="82">
        <v>1.0</v>
      </c>
      <c r="H26" s="83">
        <v>1.0</v>
      </c>
      <c r="I26" s="84">
        <v>3.0</v>
      </c>
      <c r="J26" s="82">
        <v>3.0</v>
      </c>
      <c r="K26" s="82">
        <v>1.0</v>
      </c>
      <c r="L26" s="82">
        <v>1.0</v>
      </c>
      <c r="M26" s="82">
        <v>3.0</v>
      </c>
      <c r="N26" s="82">
        <v>0.0</v>
      </c>
      <c r="O26" s="82">
        <v>1.0</v>
      </c>
      <c r="P26" s="83">
        <v>3.0</v>
      </c>
      <c r="Q26" s="85">
        <v>0.0</v>
      </c>
      <c r="R26" s="83">
        <v>1.0</v>
      </c>
      <c r="S26" s="83">
        <v>3.0</v>
      </c>
      <c r="T26" s="83">
        <v>3.0</v>
      </c>
      <c r="U26" s="83">
        <v>3.0</v>
      </c>
      <c r="V26" s="86">
        <v>1.0</v>
      </c>
      <c r="W26" s="87">
        <f t="shared" si="1"/>
        <v>9</v>
      </c>
      <c r="X26" s="88">
        <f t="shared" si="2"/>
        <v>9</v>
      </c>
      <c r="Y26" s="89">
        <f t="shared" si="3"/>
        <v>2</v>
      </c>
      <c r="Z26" s="66" t="str">
        <f t="shared" si="4"/>
        <v>Inicio</v>
      </c>
      <c r="AA26" s="67" t="str">
        <f t="shared" si="5"/>
        <v>Inicio</v>
      </c>
      <c r="AB26" s="66" t="str">
        <f t="shared" si="6"/>
        <v>Inicio</v>
      </c>
      <c r="AC26" s="80" t="str">
        <f t="shared" si="7"/>
        <v>Inicio</v>
      </c>
      <c r="AD26" s="4"/>
      <c r="AE26" s="4"/>
      <c r="AF26" s="4"/>
      <c r="AG26" s="4"/>
    </row>
    <row r="27" ht="19.5" customHeight="1">
      <c r="A27" s="69">
        <v>20.0</v>
      </c>
      <c r="B27" s="90"/>
      <c r="C27" s="71"/>
      <c r="D27" s="72"/>
      <c r="E27" s="72"/>
      <c r="F27" s="72"/>
      <c r="G27" s="72"/>
      <c r="H27" s="73"/>
      <c r="I27" s="74"/>
      <c r="J27" s="72"/>
      <c r="K27" s="72"/>
      <c r="L27" s="72"/>
      <c r="M27" s="72"/>
      <c r="N27" s="72"/>
      <c r="O27" s="72"/>
      <c r="P27" s="73"/>
      <c r="Q27" s="75"/>
      <c r="R27" s="73"/>
      <c r="S27" s="73"/>
      <c r="T27" s="73"/>
      <c r="U27" s="73"/>
      <c r="V27" s="76"/>
      <c r="W27" s="77">
        <f t="shared" si="1"/>
        <v>0</v>
      </c>
      <c r="X27" s="78">
        <f t="shared" si="2"/>
        <v>0</v>
      </c>
      <c r="Y27" s="79">
        <f t="shared" si="3"/>
        <v>0</v>
      </c>
      <c r="Z27" s="66" t="str">
        <f t="shared" si="4"/>
        <v/>
      </c>
      <c r="AA27" s="67" t="str">
        <f t="shared" si="5"/>
        <v/>
      </c>
      <c r="AB27" s="66" t="str">
        <f t="shared" si="6"/>
        <v/>
      </c>
      <c r="AC27" s="80" t="str">
        <f t="shared" si="7"/>
        <v/>
      </c>
      <c r="AD27" s="4"/>
      <c r="AE27" s="4"/>
      <c r="AF27" s="4"/>
      <c r="AG27" s="4"/>
    </row>
    <row r="28" ht="19.5" customHeight="1">
      <c r="A28" s="55">
        <v>21.0</v>
      </c>
      <c r="B28" s="91"/>
      <c r="C28" s="81"/>
      <c r="D28" s="82"/>
      <c r="E28" s="82"/>
      <c r="F28" s="82"/>
      <c r="G28" s="82"/>
      <c r="H28" s="83"/>
      <c r="I28" s="84"/>
      <c r="J28" s="82"/>
      <c r="K28" s="82"/>
      <c r="L28" s="82"/>
      <c r="M28" s="82"/>
      <c r="N28" s="82"/>
      <c r="O28" s="82"/>
      <c r="P28" s="83"/>
      <c r="Q28" s="85"/>
      <c r="R28" s="83"/>
      <c r="S28" s="83"/>
      <c r="T28" s="83"/>
      <c r="U28" s="83"/>
      <c r="V28" s="86"/>
      <c r="W28" s="87">
        <f t="shared" si="1"/>
        <v>0</v>
      </c>
      <c r="X28" s="88">
        <f t="shared" si="2"/>
        <v>0</v>
      </c>
      <c r="Y28" s="89">
        <f t="shared" si="3"/>
        <v>0</v>
      </c>
      <c r="Z28" s="66" t="str">
        <f t="shared" si="4"/>
        <v/>
      </c>
      <c r="AA28" s="67" t="str">
        <f t="shared" si="5"/>
        <v/>
      </c>
      <c r="AB28" s="66" t="str">
        <f t="shared" si="6"/>
        <v/>
      </c>
      <c r="AC28" s="80" t="str">
        <f t="shared" si="7"/>
        <v/>
      </c>
      <c r="AD28" s="4"/>
      <c r="AE28" s="4"/>
      <c r="AF28" s="4"/>
      <c r="AG28" s="4"/>
    </row>
    <row r="29" ht="19.5" customHeight="1">
      <c r="A29" s="69">
        <v>22.0</v>
      </c>
      <c r="B29" s="90"/>
      <c r="C29" s="71"/>
      <c r="D29" s="72"/>
      <c r="E29" s="72"/>
      <c r="F29" s="72"/>
      <c r="G29" s="72"/>
      <c r="H29" s="73"/>
      <c r="I29" s="74"/>
      <c r="J29" s="72"/>
      <c r="K29" s="72"/>
      <c r="L29" s="72"/>
      <c r="M29" s="72"/>
      <c r="N29" s="72"/>
      <c r="O29" s="72"/>
      <c r="P29" s="73"/>
      <c r="Q29" s="75"/>
      <c r="R29" s="73"/>
      <c r="S29" s="73"/>
      <c r="T29" s="73"/>
      <c r="U29" s="73"/>
      <c r="V29" s="76"/>
      <c r="W29" s="77">
        <f t="shared" si="1"/>
        <v>0</v>
      </c>
      <c r="X29" s="78">
        <f t="shared" si="2"/>
        <v>0</v>
      </c>
      <c r="Y29" s="79">
        <f t="shared" si="3"/>
        <v>0</v>
      </c>
      <c r="Z29" s="66" t="str">
        <f t="shared" si="4"/>
        <v/>
      </c>
      <c r="AA29" s="67" t="str">
        <f t="shared" si="5"/>
        <v/>
      </c>
      <c r="AB29" s="66" t="str">
        <f t="shared" si="6"/>
        <v/>
      </c>
      <c r="AC29" s="80" t="str">
        <f t="shared" si="7"/>
        <v/>
      </c>
      <c r="AD29" s="4"/>
      <c r="AE29" s="4"/>
      <c r="AF29" s="4"/>
      <c r="AG29" s="4"/>
    </row>
    <row r="30" ht="19.5" customHeight="1">
      <c r="A30" s="55">
        <v>23.0</v>
      </c>
      <c r="B30" s="91"/>
      <c r="C30" s="81"/>
      <c r="D30" s="82"/>
      <c r="E30" s="82"/>
      <c r="F30" s="82"/>
      <c r="G30" s="82"/>
      <c r="H30" s="83"/>
      <c r="I30" s="84"/>
      <c r="J30" s="82"/>
      <c r="K30" s="82"/>
      <c r="L30" s="82"/>
      <c r="M30" s="82"/>
      <c r="N30" s="82"/>
      <c r="O30" s="82"/>
      <c r="P30" s="83"/>
      <c r="Q30" s="85"/>
      <c r="R30" s="83"/>
      <c r="S30" s="83"/>
      <c r="T30" s="83"/>
      <c r="U30" s="83"/>
      <c r="V30" s="86"/>
      <c r="W30" s="87">
        <f t="shared" si="1"/>
        <v>0</v>
      </c>
      <c r="X30" s="88">
        <f t="shared" si="2"/>
        <v>0</v>
      </c>
      <c r="Y30" s="89">
        <f t="shared" si="3"/>
        <v>0</v>
      </c>
      <c r="Z30" s="66" t="str">
        <f t="shared" si="4"/>
        <v/>
      </c>
      <c r="AA30" s="67" t="str">
        <f t="shared" si="5"/>
        <v/>
      </c>
      <c r="AB30" s="66" t="str">
        <f t="shared" si="6"/>
        <v/>
      </c>
      <c r="AC30" s="80" t="str">
        <f t="shared" si="7"/>
        <v/>
      </c>
      <c r="AD30" s="4"/>
      <c r="AE30" s="4"/>
      <c r="AF30" s="4"/>
      <c r="AG30" s="4"/>
    </row>
    <row r="31" ht="19.5" customHeight="1">
      <c r="A31" s="69">
        <v>24.0</v>
      </c>
      <c r="B31" s="90"/>
      <c r="C31" s="71"/>
      <c r="D31" s="72"/>
      <c r="E31" s="72"/>
      <c r="F31" s="72"/>
      <c r="G31" s="72"/>
      <c r="H31" s="73"/>
      <c r="I31" s="74"/>
      <c r="J31" s="72"/>
      <c r="K31" s="72"/>
      <c r="L31" s="72"/>
      <c r="M31" s="72"/>
      <c r="N31" s="72"/>
      <c r="O31" s="72"/>
      <c r="P31" s="73"/>
      <c r="Q31" s="75"/>
      <c r="R31" s="73"/>
      <c r="S31" s="73"/>
      <c r="T31" s="73"/>
      <c r="U31" s="73"/>
      <c r="V31" s="76"/>
      <c r="W31" s="77">
        <f t="shared" si="1"/>
        <v>0</v>
      </c>
      <c r="X31" s="78">
        <f t="shared" si="2"/>
        <v>0</v>
      </c>
      <c r="Y31" s="79">
        <f t="shared" si="3"/>
        <v>0</v>
      </c>
      <c r="Z31" s="66" t="str">
        <f t="shared" si="4"/>
        <v/>
      </c>
      <c r="AA31" s="67" t="str">
        <f t="shared" si="5"/>
        <v/>
      </c>
      <c r="AB31" s="66" t="str">
        <f t="shared" si="6"/>
        <v/>
      </c>
      <c r="AC31" s="80" t="str">
        <f t="shared" si="7"/>
        <v/>
      </c>
      <c r="AD31" s="4"/>
      <c r="AE31" s="4"/>
      <c r="AF31" s="4"/>
      <c r="AG31" s="4"/>
    </row>
    <row r="32" ht="19.5" customHeight="1">
      <c r="A32" s="55">
        <v>25.0</v>
      </c>
      <c r="B32" s="91"/>
      <c r="C32" s="81"/>
      <c r="D32" s="82"/>
      <c r="E32" s="82"/>
      <c r="F32" s="82"/>
      <c r="G32" s="82"/>
      <c r="H32" s="83"/>
      <c r="I32" s="84"/>
      <c r="J32" s="82"/>
      <c r="K32" s="82"/>
      <c r="L32" s="82"/>
      <c r="M32" s="82"/>
      <c r="N32" s="82"/>
      <c r="O32" s="82"/>
      <c r="P32" s="83"/>
      <c r="Q32" s="85"/>
      <c r="R32" s="83"/>
      <c r="S32" s="83"/>
      <c r="T32" s="83"/>
      <c r="U32" s="83"/>
      <c r="V32" s="86"/>
      <c r="W32" s="87">
        <f t="shared" si="1"/>
        <v>0</v>
      </c>
      <c r="X32" s="88">
        <f t="shared" si="2"/>
        <v>0</v>
      </c>
      <c r="Y32" s="89">
        <f t="shared" si="3"/>
        <v>0</v>
      </c>
      <c r="Z32" s="66" t="str">
        <f t="shared" si="4"/>
        <v/>
      </c>
      <c r="AA32" s="67" t="str">
        <f t="shared" si="5"/>
        <v/>
      </c>
      <c r="AB32" s="66" t="str">
        <f t="shared" si="6"/>
        <v/>
      </c>
      <c r="AC32" s="80" t="str">
        <f t="shared" si="7"/>
        <v/>
      </c>
      <c r="AD32" s="4"/>
      <c r="AE32" s="4"/>
      <c r="AF32" s="4"/>
      <c r="AG32" s="4"/>
    </row>
    <row r="33" ht="19.5" customHeight="1">
      <c r="A33" s="69">
        <v>26.0</v>
      </c>
      <c r="B33" s="90"/>
      <c r="C33" s="71"/>
      <c r="D33" s="72"/>
      <c r="E33" s="72"/>
      <c r="F33" s="72"/>
      <c r="G33" s="72"/>
      <c r="H33" s="73"/>
      <c r="I33" s="74"/>
      <c r="J33" s="72"/>
      <c r="K33" s="72"/>
      <c r="L33" s="72"/>
      <c r="M33" s="72"/>
      <c r="N33" s="72"/>
      <c r="O33" s="72"/>
      <c r="P33" s="73"/>
      <c r="Q33" s="75"/>
      <c r="R33" s="73"/>
      <c r="S33" s="73"/>
      <c r="T33" s="73"/>
      <c r="U33" s="73"/>
      <c r="V33" s="76"/>
      <c r="W33" s="77">
        <f t="shared" si="1"/>
        <v>0</v>
      </c>
      <c r="X33" s="78">
        <f t="shared" si="2"/>
        <v>0</v>
      </c>
      <c r="Y33" s="79">
        <f t="shared" si="3"/>
        <v>0</v>
      </c>
      <c r="Z33" s="66" t="str">
        <f t="shared" si="4"/>
        <v/>
      </c>
      <c r="AA33" s="67" t="str">
        <f t="shared" si="5"/>
        <v/>
      </c>
      <c r="AB33" s="66" t="str">
        <f t="shared" si="6"/>
        <v/>
      </c>
      <c r="AC33" s="80" t="str">
        <f t="shared" si="7"/>
        <v/>
      </c>
      <c r="AD33" s="4"/>
      <c r="AE33" s="4"/>
      <c r="AF33" s="4"/>
      <c r="AG33" s="4"/>
    </row>
    <row r="34" ht="19.5" customHeight="1">
      <c r="A34" s="55">
        <v>27.0</v>
      </c>
      <c r="B34" s="91"/>
      <c r="C34" s="81"/>
      <c r="D34" s="82"/>
      <c r="E34" s="82"/>
      <c r="F34" s="82"/>
      <c r="G34" s="82"/>
      <c r="H34" s="83"/>
      <c r="I34" s="84"/>
      <c r="J34" s="82"/>
      <c r="K34" s="82"/>
      <c r="L34" s="82"/>
      <c r="M34" s="82"/>
      <c r="N34" s="82"/>
      <c r="O34" s="82"/>
      <c r="P34" s="83"/>
      <c r="Q34" s="85"/>
      <c r="R34" s="83"/>
      <c r="S34" s="83"/>
      <c r="T34" s="83"/>
      <c r="U34" s="83"/>
      <c r="V34" s="86"/>
      <c r="W34" s="87">
        <f t="shared" si="1"/>
        <v>0</v>
      </c>
      <c r="X34" s="88">
        <f t="shared" si="2"/>
        <v>0</v>
      </c>
      <c r="Y34" s="89">
        <f t="shared" si="3"/>
        <v>0</v>
      </c>
      <c r="Z34" s="66" t="str">
        <f t="shared" si="4"/>
        <v/>
      </c>
      <c r="AA34" s="67" t="str">
        <f t="shared" si="5"/>
        <v/>
      </c>
      <c r="AB34" s="66" t="str">
        <f t="shared" si="6"/>
        <v/>
      </c>
      <c r="AC34" s="80" t="str">
        <f t="shared" si="7"/>
        <v/>
      </c>
      <c r="AD34" s="4"/>
      <c r="AE34" s="4"/>
      <c r="AF34" s="4"/>
      <c r="AG34" s="4"/>
    </row>
    <row r="35" ht="19.5" customHeight="1">
      <c r="A35" s="69">
        <v>28.0</v>
      </c>
      <c r="B35" s="90"/>
      <c r="C35" s="71"/>
      <c r="D35" s="72"/>
      <c r="E35" s="72"/>
      <c r="F35" s="72"/>
      <c r="G35" s="72"/>
      <c r="H35" s="73"/>
      <c r="I35" s="74"/>
      <c r="J35" s="72"/>
      <c r="K35" s="72"/>
      <c r="L35" s="72"/>
      <c r="M35" s="72"/>
      <c r="N35" s="72"/>
      <c r="O35" s="72"/>
      <c r="P35" s="73"/>
      <c r="Q35" s="75"/>
      <c r="R35" s="73"/>
      <c r="S35" s="73"/>
      <c r="T35" s="73"/>
      <c r="U35" s="73"/>
      <c r="V35" s="76"/>
      <c r="W35" s="77">
        <f t="shared" si="1"/>
        <v>0</v>
      </c>
      <c r="X35" s="78">
        <f t="shared" si="2"/>
        <v>0</v>
      </c>
      <c r="Y35" s="79">
        <f t="shared" si="3"/>
        <v>0</v>
      </c>
      <c r="Z35" s="66" t="str">
        <f t="shared" si="4"/>
        <v/>
      </c>
      <c r="AA35" s="67" t="str">
        <f t="shared" si="5"/>
        <v/>
      </c>
      <c r="AB35" s="66" t="str">
        <f t="shared" si="6"/>
        <v/>
      </c>
      <c r="AC35" s="80" t="str">
        <f t="shared" si="7"/>
        <v/>
      </c>
      <c r="AD35" s="4"/>
      <c r="AE35" s="4"/>
      <c r="AF35" s="4"/>
      <c r="AG35" s="4"/>
    </row>
    <row r="36" ht="19.5" customHeight="1">
      <c r="A36" s="55">
        <v>29.0</v>
      </c>
      <c r="B36" s="91"/>
      <c r="C36" s="81"/>
      <c r="D36" s="82"/>
      <c r="E36" s="82"/>
      <c r="F36" s="82"/>
      <c r="G36" s="82"/>
      <c r="H36" s="83"/>
      <c r="I36" s="84"/>
      <c r="J36" s="82"/>
      <c r="K36" s="82"/>
      <c r="L36" s="82"/>
      <c r="M36" s="82"/>
      <c r="N36" s="82"/>
      <c r="O36" s="82"/>
      <c r="P36" s="83"/>
      <c r="Q36" s="85"/>
      <c r="R36" s="83"/>
      <c r="S36" s="83"/>
      <c r="T36" s="83"/>
      <c r="U36" s="83"/>
      <c r="V36" s="86"/>
      <c r="W36" s="87">
        <f t="shared" si="1"/>
        <v>0</v>
      </c>
      <c r="X36" s="88">
        <f t="shared" si="2"/>
        <v>0</v>
      </c>
      <c r="Y36" s="89">
        <f t="shared" si="3"/>
        <v>0</v>
      </c>
      <c r="Z36" s="66" t="str">
        <f t="shared" si="4"/>
        <v/>
      </c>
      <c r="AA36" s="67" t="str">
        <f t="shared" si="5"/>
        <v/>
      </c>
      <c r="AB36" s="66" t="str">
        <f t="shared" si="6"/>
        <v/>
      </c>
      <c r="AC36" s="80" t="str">
        <f t="shared" si="7"/>
        <v/>
      </c>
      <c r="AD36" s="4"/>
      <c r="AE36" s="4"/>
      <c r="AF36" s="4"/>
      <c r="AG36" s="4"/>
    </row>
    <row r="37" ht="19.5" customHeight="1">
      <c r="A37" s="69">
        <v>30.0</v>
      </c>
      <c r="B37" s="90"/>
      <c r="C37" s="71"/>
      <c r="D37" s="72"/>
      <c r="E37" s="72"/>
      <c r="F37" s="72"/>
      <c r="G37" s="72"/>
      <c r="H37" s="73"/>
      <c r="I37" s="74"/>
      <c r="J37" s="72"/>
      <c r="K37" s="72"/>
      <c r="L37" s="72"/>
      <c r="M37" s="72"/>
      <c r="N37" s="72"/>
      <c r="O37" s="72"/>
      <c r="P37" s="73"/>
      <c r="Q37" s="75"/>
      <c r="R37" s="73"/>
      <c r="S37" s="73"/>
      <c r="T37" s="73"/>
      <c r="U37" s="73"/>
      <c r="V37" s="76"/>
      <c r="W37" s="77">
        <f t="shared" si="1"/>
        <v>0</v>
      </c>
      <c r="X37" s="78">
        <f t="shared" si="2"/>
        <v>0</v>
      </c>
      <c r="Y37" s="79">
        <f t="shared" si="3"/>
        <v>0</v>
      </c>
      <c r="Z37" s="66" t="str">
        <f t="shared" si="4"/>
        <v/>
      </c>
      <c r="AA37" s="67" t="str">
        <f t="shared" si="5"/>
        <v/>
      </c>
      <c r="AB37" s="66" t="str">
        <f t="shared" si="6"/>
        <v/>
      </c>
      <c r="AC37" s="80" t="str">
        <f t="shared" si="7"/>
        <v/>
      </c>
      <c r="AD37" s="4"/>
      <c r="AE37" s="4"/>
      <c r="AF37" s="4"/>
      <c r="AG37" s="4"/>
    </row>
    <row r="38" ht="19.5" customHeight="1">
      <c r="A38" s="55">
        <v>31.0</v>
      </c>
      <c r="B38" s="91"/>
      <c r="C38" s="81"/>
      <c r="D38" s="82"/>
      <c r="E38" s="82"/>
      <c r="F38" s="82"/>
      <c r="G38" s="82"/>
      <c r="H38" s="83"/>
      <c r="I38" s="84"/>
      <c r="J38" s="82"/>
      <c r="K38" s="82"/>
      <c r="L38" s="82"/>
      <c r="M38" s="82"/>
      <c r="N38" s="82"/>
      <c r="O38" s="82"/>
      <c r="P38" s="83"/>
      <c r="Q38" s="85"/>
      <c r="R38" s="83"/>
      <c r="S38" s="83"/>
      <c r="T38" s="83"/>
      <c r="U38" s="83"/>
      <c r="V38" s="86"/>
      <c r="W38" s="87">
        <f t="shared" si="1"/>
        <v>0</v>
      </c>
      <c r="X38" s="88">
        <f t="shared" si="2"/>
        <v>0</v>
      </c>
      <c r="Y38" s="89">
        <f t="shared" si="3"/>
        <v>0</v>
      </c>
      <c r="Z38" s="66" t="str">
        <f t="shared" si="4"/>
        <v/>
      </c>
      <c r="AA38" s="67" t="str">
        <f t="shared" si="5"/>
        <v/>
      </c>
      <c r="AB38" s="66" t="str">
        <f t="shared" si="6"/>
        <v/>
      </c>
      <c r="AC38" s="80" t="str">
        <f t="shared" si="7"/>
        <v/>
      </c>
      <c r="AD38" s="4"/>
      <c r="AE38" s="4"/>
      <c r="AF38" s="4"/>
      <c r="AG38" s="4"/>
    </row>
    <row r="39" ht="19.5" customHeight="1">
      <c r="A39" s="69">
        <v>32.0</v>
      </c>
      <c r="B39" s="90"/>
      <c r="C39" s="71"/>
      <c r="D39" s="72"/>
      <c r="E39" s="72"/>
      <c r="F39" s="72"/>
      <c r="G39" s="72"/>
      <c r="H39" s="73"/>
      <c r="I39" s="74"/>
      <c r="J39" s="72"/>
      <c r="K39" s="72"/>
      <c r="L39" s="72"/>
      <c r="M39" s="72"/>
      <c r="N39" s="72"/>
      <c r="O39" s="72"/>
      <c r="P39" s="73"/>
      <c r="Q39" s="75"/>
      <c r="R39" s="73"/>
      <c r="S39" s="73"/>
      <c r="T39" s="73"/>
      <c r="U39" s="73"/>
      <c r="V39" s="76"/>
      <c r="W39" s="77">
        <f t="shared" si="1"/>
        <v>0</v>
      </c>
      <c r="X39" s="78">
        <f t="shared" si="2"/>
        <v>0</v>
      </c>
      <c r="Y39" s="79">
        <f t="shared" si="3"/>
        <v>0</v>
      </c>
      <c r="Z39" s="66" t="str">
        <f t="shared" si="4"/>
        <v/>
      </c>
      <c r="AA39" s="67" t="str">
        <f t="shared" si="5"/>
        <v/>
      </c>
      <c r="AB39" s="66" t="str">
        <f t="shared" si="6"/>
        <v/>
      </c>
      <c r="AC39" s="80" t="str">
        <f t="shared" si="7"/>
        <v/>
      </c>
      <c r="AD39" s="4"/>
      <c r="AE39" s="4"/>
      <c r="AF39" s="4"/>
      <c r="AG39" s="4"/>
    </row>
    <row r="40" ht="19.5" customHeight="1">
      <c r="A40" s="55">
        <v>33.0</v>
      </c>
      <c r="B40" s="91"/>
      <c r="C40" s="81"/>
      <c r="D40" s="82"/>
      <c r="E40" s="82"/>
      <c r="F40" s="82"/>
      <c r="G40" s="82"/>
      <c r="H40" s="83"/>
      <c r="I40" s="84"/>
      <c r="J40" s="82"/>
      <c r="K40" s="82"/>
      <c r="L40" s="82"/>
      <c r="M40" s="82"/>
      <c r="N40" s="82"/>
      <c r="O40" s="82"/>
      <c r="P40" s="83"/>
      <c r="Q40" s="85"/>
      <c r="R40" s="83"/>
      <c r="S40" s="83"/>
      <c r="T40" s="83"/>
      <c r="U40" s="83"/>
      <c r="V40" s="86"/>
      <c r="W40" s="87">
        <f t="shared" si="1"/>
        <v>0</v>
      </c>
      <c r="X40" s="88">
        <f t="shared" si="2"/>
        <v>0</v>
      </c>
      <c r="Y40" s="89">
        <f t="shared" si="3"/>
        <v>0</v>
      </c>
      <c r="Z40" s="66" t="str">
        <f t="shared" si="4"/>
        <v/>
      </c>
      <c r="AA40" s="67" t="str">
        <f t="shared" si="5"/>
        <v/>
      </c>
      <c r="AB40" s="66" t="str">
        <f t="shared" si="6"/>
        <v/>
      </c>
      <c r="AC40" s="80" t="str">
        <f t="shared" si="7"/>
        <v/>
      </c>
      <c r="AD40" s="4"/>
      <c r="AE40" s="4"/>
      <c r="AF40" s="4"/>
      <c r="AG40" s="4"/>
    </row>
    <row r="41" ht="19.5" customHeight="1">
      <c r="A41" s="69">
        <v>34.0</v>
      </c>
      <c r="B41" s="90"/>
      <c r="C41" s="71"/>
      <c r="D41" s="72"/>
      <c r="E41" s="72"/>
      <c r="F41" s="72"/>
      <c r="G41" s="72"/>
      <c r="H41" s="73"/>
      <c r="I41" s="74"/>
      <c r="J41" s="72"/>
      <c r="K41" s="72"/>
      <c r="L41" s="72"/>
      <c r="M41" s="72"/>
      <c r="N41" s="72"/>
      <c r="O41" s="72"/>
      <c r="P41" s="73"/>
      <c r="Q41" s="75"/>
      <c r="R41" s="73"/>
      <c r="S41" s="73"/>
      <c r="T41" s="73"/>
      <c r="U41" s="73"/>
      <c r="V41" s="76"/>
      <c r="W41" s="77">
        <f t="shared" si="1"/>
        <v>0</v>
      </c>
      <c r="X41" s="78">
        <f t="shared" si="2"/>
        <v>0</v>
      </c>
      <c r="Y41" s="79">
        <f t="shared" si="3"/>
        <v>0</v>
      </c>
      <c r="Z41" s="66" t="str">
        <f t="shared" si="4"/>
        <v/>
      </c>
      <c r="AA41" s="67" t="str">
        <f t="shared" si="5"/>
        <v/>
      </c>
      <c r="AB41" s="66" t="str">
        <f t="shared" si="6"/>
        <v/>
      </c>
      <c r="AC41" s="80" t="str">
        <f t="shared" si="7"/>
        <v/>
      </c>
      <c r="AD41" s="4"/>
      <c r="AE41" s="4"/>
      <c r="AF41" s="4"/>
      <c r="AG41" s="4"/>
    </row>
    <row r="42" ht="19.5" customHeight="1">
      <c r="A42" s="55">
        <v>35.0</v>
      </c>
      <c r="B42" s="91"/>
      <c r="C42" s="81"/>
      <c r="D42" s="82"/>
      <c r="E42" s="82"/>
      <c r="F42" s="82"/>
      <c r="G42" s="82"/>
      <c r="H42" s="83"/>
      <c r="I42" s="84"/>
      <c r="J42" s="82"/>
      <c r="K42" s="82"/>
      <c r="L42" s="82"/>
      <c r="M42" s="82"/>
      <c r="N42" s="82"/>
      <c r="O42" s="82"/>
      <c r="P42" s="83"/>
      <c r="Q42" s="85"/>
      <c r="R42" s="83"/>
      <c r="S42" s="83"/>
      <c r="T42" s="83"/>
      <c r="U42" s="83"/>
      <c r="V42" s="86"/>
      <c r="W42" s="87">
        <f t="shared" si="1"/>
        <v>0</v>
      </c>
      <c r="X42" s="88">
        <f t="shared" si="2"/>
        <v>0</v>
      </c>
      <c r="Y42" s="89">
        <f t="shared" si="3"/>
        <v>0</v>
      </c>
      <c r="Z42" s="66" t="str">
        <f t="shared" si="4"/>
        <v/>
      </c>
      <c r="AA42" s="67" t="str">
        <f t="shared" si="5"/>
        <v/>
      </c>
      <c r="AB42" s="66" t="str">
        <f t="shared" si="6"/>
        <v/>
      </c>
      <c r="AC42" s="80" t="str">
        <f t="shared" si="7"/>
        <v/>
      </c>
      <c r="AD42" s="4"/>
      <c r="AE42" s="4"/>
      <c r="AF42" s="4"/>
      <c r="AG42" s="4"/>
    </row>
    <row r="43" ht="19.5" customHeight="1">
      <c r="A43" s="69">
        <v>36.0</v>
      </c>
      <c r="B43" s="90"/>
      <c r="C43" s="71"/>
      <c r="D43" s="72"/>
      <c r="E43" s="72"/>
      <c r="F43" s="72"/>
      <c r="G43" s="72"/>
      <c r="H43" s="73"/>
      <c r="I43" s="74"/>
      <c r="J43" s="72"/>
      <c r="K43" s="72"/>
      <c r="L43" s="72"/>
      <c r="M43" s="72"/>
      <c r="N43" s="72"/>
      <c r="O43" s="72"/>
      <c r="P43" s="73"/>
      <c r="Q43" s="75"/>
      <c r="R43" s="73"/>
      <c r="S43" s="73"/>
      <c r="T43" s="73"/>
      <c r="U43" s="73"/>
      <c r="V43" s="76"/>
      <c r="W43" s="77">
        <f t="shared" si="1"/>
        <v>0</v>
      </c>
      <c r="X43" s="78">
        <f t="shared" si="2"/>
        <v>0</v>
      </c>
      <c r="Y43" s="79">
        <f t="shared" si="3"/>
        <v>0</v>
      </c>
      <c r="Z43" s="66" t="str">
        <f t="shared" si="4"/>
        <v/>
      </c>
      <c r="AA43" s="67" t="str">
        <f t="shared" si="5"/>
        <v/>
      </c>
      <c r="AB43" s="66" t="str">
        <f t="shared" si="6"/>
        <v/>
      </c>
      <c r="AC43" s="80" t="str">
        <f t="shared" si="7"/>
        <v/>
      </c>
      <c r="AD43" s="4"/>
      <c r="AE43" s="4"/>
      <c r="AF43" s="4"/>
      <c r="AG43" s="4"/>
    </row>
    <row r="44" ht="19.5" customHeight="1">
      <c r="A44" s="55">
        <v>37.0</v>
      </c>
      <c r="B44" s="91"/>
      <c r="C44" s="81"/>
      <c r="D44" s="82"/>
      <c r="E44" s="82"/>
      <c r="F44" s="82"/>
      <c r="G44" s="82"/>
      <c r="H44" s="83"/>
      <c r="I44" s="84"/>
      <c r="J44" s="82"/>
      <c r="K44" s="82"/>
      <c r="L44" s="82"/>
      <c r="M44" s="82"/>
      <c r="N44" s="82"/>
      <c r="O44" s="82"/>
      <c r="P44" s="83"/>
      <c r="Q44" s="85"/>
      <c r="R44" s="83"/>
      <c r="S44" s="83"/>
      <c r="T44" s="83"/>
      <c r="U44" s="83"/>
      <c r="V44" s="86"/>
      <c r="W44" s="87">
        <f t="shared" si="1"/>
        <v>0</v>
      </c>
      <c r="X44" s="88">
        <f t="shared" si="2"/>
        <v>0</v>
      </c>
      <c r="Y44" s="89">
        <f t="shared" si="3"/>
        <v>0</v>
      </c>
      <c r="Z44" s="66" t="str">
        <f t="shared" si="4"/>
        <v/>
      </c>
      <c r="AA44" s="67" t="str">
        <f t="shared" si="5"/>
        <v/>
      </c>
      <c r="AB44" s="66" t="str">
        <f t="shared" si="6"/>
        <v/>
      </c>
      <c r="AC44" s="80" t="str">
        <f t="shared" si="7"/>
        <v/>
      </c>
      <c r="AD44" s="4"/>
      <c r="AE44" s="4"/>
      <c r="AF44" s="4"/>
      <c r="AG44" s="4"/>
    </row>
    <row r="45" ht="19.5" customHeight="1">
      <c r="A45" s="69">
        <v>38.0</v>
      </c>
      <c r="B45" s="90"/>
      <c r="C45" s="71"/>
      <c r="D45" s="72"/>
      <c r="E45" s="72"/>
      <c r="F45" s="72"/>
      <c r="G45" s="72"/>
      <c r="H45" s="73"/>
      <c r="I45" s="74"/>
      <c r="J45" s="72"/>
      <c r="K45" s="72"/>
      <c r="L45" s="72"/>
      <c r="M45" s="72"/>
      <c r="N45" s="72"/>
      <c r="O45" s="72"/>
      <c r="P45" s="73"/>
      <c r="Q45" s="75"/>
      <c r="R45" s="73"/>
      <c r="S45" s="73"/>
      <c r="T45" s="73"/>
      <c r="U45" s="73"/>
      <c r="V45" s="76"/>
      <c r="W45" s="77">
        <f t="shared" si="1"/>
        <v>0</v>
      </c>
      <c r="X45" s="78">
        <f t="shared" si="2"/>
        <v>0</v>
      </c>
      <c r="Y45" s="79">
        <f t="shared" si="3"/>
        <v>0</v>
      </c>
      <c r="Z45" s="66" t="str">
        <f t="shared" si="4"/>
        <v/>
      </c>
      <c r="AA45" s="67" t="str">
        <f t="shared" si="5"/>
        <v/>
      </c>
      <c r="AB45" s="66" t="str">
        <f t="shared" si="6"/>
        <v/>
      </c>
      <c r="AC45" s="80" t="str">
        <f t="shared" si="7"/>
        <v/>
      </c>
      <c r="AD45" s="4"/>
      <c r="AE45" s="4"/>
      <c r="AF45" s="4"/>
      <c r="AG45" s="4"/>
    </row>
    <row r="46" ht="19.5" customHeight="1">
      <c r="A46" s="55">
        <v>39.0</v>
      </c>
      <c r="B46" s="91"/>
      <c r="C46" s="81"/>
      <c r="D46" s="82"/>
      <c r="E46" s="82"/>
      <c r="F46" s="82"/>
      <c r="G46" s="82"/>
      <c r="H46" s="83"/>
      <c r="I46" s="84"/>
      <c r="J46" s="82"/>
      <c r="K46" s="82"/>
      <c r="L46" s="82"/>
      <c r="M46" s="82"/>
      <c r="N46" s="82"/>
      <c r="O46" s="82"/>
      <c r="P46" s="83"/>
      <c r="Q46" s="85"/>
      <c r="R46" s="83"/>
      <c r="S46" s="83"/>
      <c r="T46" s="83"/>
      <c r="U46" s="83"/>
      <c r="V46" s="86"/>
      <c r="W46" s="87">
        <f t="shared" si="1"/>
        <v>0</v>
      </c>
      <c r="X46" s="88">
        <f t="shared" si="2"/>
        <v>0</v>
      </c>
      <c r="Y46" s="89">
        <f t="shared" si="3"/>
        <v>0</v>
      </c>
      <c r="Z46" s="66" t="str">
        <f t="shared" si="4"/>
        <v/>
      </c>
      <c r="AA46" s="67" t="str">
        <f t="shared" si="5"/>
        <v/>
      </c>
      <c r="AB46" s="66" t="str">
        <f t="shared" si="6"/>
        <v/>
      </c>
      <c r="AC46" s="80" t="str">
        <f t="shared" si="7"/>
        <v/>
      </c>
      <c r="AD46" s="4"/>
      <c r="AE46" s="4"/>
      <c r="AF46" s="4"/>
      <c r="AG46" s="4"/>
    </row>
    <row r="47" ht="19.5" customHeight="1">
      <c r="A47" s="92">
        <v>40.0</v>
      </c>
      <c r="B47" s="93"/>
      <c r="C47" s="94"/>
      <c r="D47" s="95"/>
      <c r="E47" s="95"/>
      <c r="F47" s="95"/>
      <c r="G47" s="95"/>
      <c r="H47" s="96"/>
      <c r="I47" s="97"/>
      <c r="J47" s="95"/>
      <c r="K47" s="95"/>
      <c r="L47" s="95"/>
      <c r="M47" s="95"/>
      <c r="N47" s="95"/>
      <c r="O47" s="95"/>
      <c r="P47" s="96"/>
      <c r="Q47" s="98"/>
      <c r="R47" s="96"/>
      <c r="S47" s="96"/>
      <c r="T47" s="96"/>
      <c r="U47" s="96"/>
      <c r="V47" s="99"/>
      <c r="W47" s="100">
        <f t="shared" si="1"/>
        <v>0</v>
      </c>
      <c r="X47" s="101">
        <f t="shared" si="2"/>
        <v>0</v>
      </c>
      <c r="Y47" s="102">
        <f t="shared" si="3"/>
        <v>0</v>
      </c>
      <c r="Z47" s="66" t="str">
        <f t="shared" si="4"/>
        <v/>
      </c>
      <c r="AA47" s="67" t="str">
        <f t="shared" si="5"/>
        <v/>
      </c>
      <c r="AB47" s="66" t="str">
        <f t="shared" si="6"/>
        <v/>
      </c>
      <c r="AC47" s="103" t="str">
        <f t="shared" si="7"/>
        <v/>
      </c>
      <c r="AD47" s="4"/>
      <c r="AE47" s="4"/>
      <c r="AF47" s="4"/>
      <c r="AG47" s="4"/>
    </row>
    <row r="48" ht="27.0" customHeight="1">
      <c r="A48" s="104" t="s">
        <v>63</v>
      </c>
      <c r="B48" s="12"/>
      <c r="C48" s="105" t="s">
        <v>23</v>
      </c>
      <c r="D48" s="106" t="s">
        <v>24</v>
      </c>
      <c r="E48" s="106" t="s">
        <v>25</v>
      </c>
      <c r="F48" s="106" t="s">
        <v>26</v>
      </c>
      <c r="G48" s="106" t="s">
        <v>27</v>
      </c>
      <c r="H48" s="107" t="s">
        <v>28</v>
      </c>
      <c r="I48" s="105" t="s">
        <v>29</v>
      </c>
      <c r="J48" s="106" t="s">
        <v>30</v>
      </c>
      <c r="K48" s="106" t="s">
        <v>31</v>
      </c>
      <c r="L48" s="106" t="s">
        <v>32</v>
      </c>
      <c r="M48" s="106" t="s">
        <v>33</v>
      </c>
      <c r="N48" s="106" t="s">
        <v>34</v>
      </c>
      <c r="O48" s="106" t="s">
        <v>35</v>
      </c>
      <c r="P48" s="108" t="s">
        <v>36</v>
      </c>
      <c r="Q48" s="105" t="s">
        <v>37</v>
      </c>
      <c r="R48" s="106" t="s">
        <v>38</v>
      </c>
      <c r="S48" s="106" t="s">
        <v>39</v>
      </c>
      <c r="T48" s="106" t="s">
        <v>40</v>
      </c>
      <c r="U48" s="106" t="s">
        <v>41</v>
      </c>
      <c r="V48" s="108" t="s">
        <v>42</v>
      </c>
      <c r="W48" s="4"/>
      <c r="X48" s="109" t="s">
        <v>64</v>
      </c>
      <c r="Y48" s="110"/>
      <c r="Z48" s="110"/>
      <c r="AA48" s="110"/>
      <c r="AB48" s="110"/>
      <c r="AC48" s="111"/>
      <c r="AD48" s="4"/>
      <c r="AE48" s="4"/>
      <c r="AF48" s="4"/>
      <c r="AG48" s="4"/>
    </row>
    <row r="49" ht="91.5" customHeight="1">
      <c r="A49" s="112" t="s">
        <v>19</v>
      </c>
      <c r="B49" s="113"/>
      <c r="C49" s="114">
        <f t="shared" ref="C49:V49" si="8">COUNTIF(C8:C47,3)/COUNTA(C8:C47)*1</f>
        <v>0.8947368421</v>
      </c>
      <c r="D49" s="115">
        <f t="shared" si="8"/>
        <v>0.2631578947</v>
      </c>
      <c r="E49" s="115">
        <f t="shared" si="8"/>
        <v>0.6842105263</v>
      </c>
      <c r="F49" s="115">
        <f t="shared" si="8"/>
        <v>0.05263157895</v>
      </c>
      <c r="G49" s="115">
        <f t="shared" si="8"/>
        <v>0.05263157895</v>
      </c>
      <c r="H49" s="116">
        <f t="shared" si="8"/>
        <v>0.2105263158</v>
      </c>
      <c r="I49" s="114">
        <f t="shared" si="8"/>
        <v>1</v>
      </c>
      <c r="J49" s="115">
        <f t="shared" si="8"/>
        <v>0.8421052632</v>
      </c>
      <c r="K49" s="115">
        <f t="shared" si="8"/>
        <v>0.8947368421</v>
      </c>
      <c r="L49" s="115">
        <f t="shared" si="8"/>
        <v>0.9473684211</v>
      </c>
      <c r="M49" s="115">
        <f t="shared" si="8"/>
        <v>0.9473684211</v>
      </c>
      <c r="N49" s="115">
        <f t="shared" si="8"/>
        <v>0.1052631579</v>
      </c>
      <c r="O49" s="115">
        <f t="shared" si="8"/>
        <v>0.8421052632</v>
      </c>
      <c r="P49" s="117">
        <f t="shared" si="8"/>
        <v>0.8947368421</v>
      </c>
      <c r="Q49" s="114">
        <f t="shared" si="8"/>
        <v>0.2105263158</v>
      </c>
      <c r="R49" s="115">
        <f t="shared" si="8"/>
        <v>0</v>
      </c>
      <c r="S49" s="115">
        <f t="shared" si="8"/>
        <v>0.4210526316</v>
      </c>
      <c r="T49" s="115">
        <f t="shared" si="8"/>
        <v>0.8421052632</v>
      </c>
      <c r="U49" s="115">
        <f t="shared" si="8"/>
        <v>0.3684210526</v>
      </c>
      <c r="V49" s="117">
        <f t="shared" si="8"/>
        <v>0.1578947368</v>
      </c>
      <c r="W49" s="4"/>
      <c r="X49" s="118" t="s">
        <v>3</v>
      </c>
      <c r="Y49" s="119"/>
      <c r="Z49" s="120" t="s">
        <v>4</v>
      </c>
      <c r="AA49" s="121" t="s">
        <v>5</v>
      </c>
      <c r="AB49" s="121" t="s">
        <v>6</v>
      </c>
      <c r="AC49" s="122" t="s">
        <v>65</v>
      </c>
      <c r="AD49" s="123"/>
      <c r="AE49" s="123"/>
      <c r="AF49" s="4"/>
      <c r="AG49" s="4"/>
    </row>
    <row r="50" ht="19.5" customHeight="1">
      <c r="A50" s="124" t="s">
        <v>20</v>
      </c>
      <c r="B50" s="113"/>
      <c r="C50" s="125">
        <f t="shared" ref="C50:V50" si="9">COUNTIF(C8:C47,1)/COUNTA(C8:C47)*1</f>
        <v>0.1052631579</v>
      </c>
      <c r="D50" s="126">
        <f t="shared" si="9"/>
        <v>0.7368421053</v>
      </c>
      <c r="E50" s="126">
        <f t="shared" si="9"/>
        <v>0.3157894737</v>
      </c>
      <c r="F50" s="126">
        <f t="shared" si="9"/>
        <v>0.9473684211</v>
      </c>
      <c r="G50" s="126">
        <f t="shared" si="9"/>
        <v>0.9473684211</v>
      </c>
      <c r="H50" s="127">
        <f t="shared" si="9"/>
        <v>0.7368421053</v>
      </c>
      <c r="I50" s="125">
        <f t="shared" si="9"/>
        <v>0</v>
      </c>
      <c r="J50" s="126">
        <f t="shared" si="9"/>
        <v>0.1578947368</v>
      </c>
      <c r="K50" s="126">
        <f t="shared" si="9"/>
        <v>0.1052631579</v>
      </c>
      <c r="L50" s="126">
        <f t="shared" si="9"/>
        <v>0.05263157895</v>
      </c>
      <c r="M50" s="126">
        <f t="shared" si="9"/>
        <v>0.05263157895</v>
      </c>
      <c r="N50" s="126">
        <f t="shared" si="9"/>
        <v>0.6315789474</v>
      </c>
      <c r="O50" s="126">
        <f t="shared" si="9"/>
        <v>0.1578947368</v>
      </c>
      <c r="P50" s="128">
        <f t="shared" si="9"/>
        <v>0.1052631579</v>
      </c>
      <c r="Q50" s="125">
        <f t="shared" si="9"/>
        <v>0.6842105263</v>
      </c>
      <c r="R50" s="126">
        <f t="shared" si="9"/>
        <v>1</v>
      </c>
      <c r="S50" s="126">
        <f t="shared" si="9"/>
        <v>0.5789473684</v>
      </c>
      <c r="T50" s="126">
        <f t="shared" si="9"/>
        <v>0.1578947368</v>
      </c>
      <c r="U50" s="126">
        <f t="shared" si="9"/>
        <v>0.6315789474</v>
      </c>
      <c r="V50" s="128">
        <f t="shared" si="9"/>
        <v>0.8421052632</v>
      </c>
      <c r="W50" s="4"/>
      <c r="X50" s="129"/>
      <c r="Y50" s="130"/>
      <c r="Z50" s="52"/>
      <c r="AA50" s="53"/>
      <c r="AB50" s="53"/>
      <c r="AC50" s="54"/>
      <c r="AE50" s="123"/>
      <c r="AF50" s="4"/>
      <c r="AG50" s="4"/>
    </row>
    <row r="51" ht="19.5" customHeight="1">
      <c r="A51" s="131" t="s">
        <v>21</v>
      </c>
      <c r="B51" s="113"/>
      <c r="C51" s="132">
        <f t="shared" ref="C51:V51" si="10">COUNTIF(C8:C47,0)/COUNTA(C8:C47)*1</f>
        <v>0</v>
      </c>
      <c r="D51" s="133">
        <f t="shared" si="10"/>
        <v>0</v>
      </c>
      <c r="E51" s="133">
        <f t="shared" si="10"/>
        <v>0</v>
      </c>
      <c r="F51" s="133">
        <f t="shared" si="10"/>
        <v>0</v>
      </c>
      <c r="G51" s="133">
        <f t="shared" si="10"/>
        <v>0</v>
      </c>
      <c r="H51" s="134">
        <f t="shared" si="10"/>
        <v>0.05263157895</v>
      </c>
      <c r="I51" s="132">
        <f t="shared" si="10"/>
        <v>0</v>
      </c>
      <c r="J51" s="133">
        <f t="shared" si="10"/>
        <v>0</v>
      </c>
      <c r="K51" s="133">
        <f t="shared" si="10"/>
        <v>0</v>
      </c>
      <c r="L51" s="133">
        <f t="shared" si="10"/>
        <v>0</v>
      </c>
      <c r="M51" s="133">
        <f t="shared" si="10"/>
        <v>0</v>
      </c>
      <c r="N51" s="133">
        <f t="shared" si="10"/>
        <v>0.2631578947</v>
      </c>
      <c r="O51" s="133">
        <f t="shared" si="10"/>
        <v>0</v>
      </c>
      <c r="P51" s="135">
        <f t="shared" si="10"/>
        <v>0</v>
      </c>
      <c r="Q51" s="132">
        <f t="shared" si="10"/>
        <v>0.1052631579</v>
      </c>
      <c r="R51" s="133">
        <f t="shared" si="10"/>
        <v>0</v>
      </c>
      <c r="S51" s="133">
        <f t="shared" si="10"/>
        <v>0</v>
      </c>
      <c r="T51" s="133">
        <f t="shared" si="10"/>
        <v>0</v>
      </c>
      <c r="U51" s="133">
        <f t="shared" si="10"/>
        <v>0</v>
      </c>
      <c r="V51" s="135">
        <f t="shared" si="10"/>
        <v>0</v>
      </c>
      <c r="W51" s="4"/>
      <c r="X51" s="136" t="s">
        <v>66</v>
      </c>
      <c r="Y51" s="137"/>
      <c r="Z51" s="138">
        <f t="shared" ref="Z51:AC51" si="11">COUNTIFS(Z8:Z47,"Logrado")</f>
        <v>0</v>
      </c>
      <c r="AA51" s="138">
        <f t="shared" si="11"/>
        <v>11</v>
      </c>
      <c r="AB51" s="138">
        <f t="shared" si="11"/>
        <v>0</v>
      </c>
      <c r="AC51" s="139">
        <f t="shared" si="11"/>
        <v>0</v>
      </c>
      <c r="AD51" s="4"/>
      <c r="AE51" s="4"/>
      <c r="AF51" s="4"/>
      <c r="AG51" s="4"/>
    </row>
    <row r="52" ht="19.5" customHeight="1">
      <c r="A52" s="140" t="s">
        <v>67</v>
      </c>
      <c r="B52" s="141"/>
      <c r="C52" s="142">
        <f t="shared" ref="C52:V52" si="12">SUM(C49:C51)</f>
        <v>1</v>
      </c>
      <c r="D52" s="143">
        <f t="shared" si="12"/>
        <v>1</v>
      </c>
      <c r="E52" s="143">
        <f t="shared" si="12"/>
        <v>1</v>
      </c>
      <c r="F52" s="143">
        <f t="shared" si="12"/>
        <v>1</v>
      </c>
      <c r="G52" s="143">
        <f t="shared" si="12"/>
        <v>1</v>
      </c>
      <c r="H52" s="144">
        <f t="shared" si="12"/>
        <v>1</v>
      </c>
      <c r="I52" s="145">
        <f t="shared" si="12"/>
        <v>1</v>
      </c>
      <c r="J52" s="146">
        <f t="shared" si="12"/>
        <v>1</v>
      </c>
      <c r="K52" s="146">
        <f t="shared" si="12"/>
        <v>1</v>
      </c>
      <c r="L52" s="146">
        <f t="shared" si="12"/>
        <v>1</v>
      </c>
      <c r="M52" s="146">
        <f t="shared" si="12"/>
        <v>1</v>
      </c>
      <c r="N52" s="146">
        <f t="shared" si="12"/>
        <v>1</v>
      </c>
      <c r="O52" s="146">
        <f t="shared" si="12"/>
        <v>1</v>
      </c>
      <c r="P52" s="147">
        <f t="shared" si="12"/>
        <v>1</v>
      </c>
      <c r="Q52" s="145">
        <f t="shared" si="12"/>
        <v>1</v>
      </c>
      <c r="R52" s="146">
        <f t="shared" si="12"/>
        <v>1</v>
      </c>
      <c r="S52" s="146">
        <f t="shared" si="12"/>
        <v>1</v>
      </c>
      <c r="T52" s="146">
        <f t="shared" si="12"/>
        <v>1</v>
      </c>
      <c r="U52" s="146">
        <f t="shared" si="12"/>
        <v>1</v>
      </c>
      <c r="V52" s="147">
        <f t="shared" si="12"/>
        <v>1</v>
      </c>
      <c r="W52" s="4"/>
      <c r="X52" s="148" t="s">
        <v>68</v>
      </c>
      <c r="Y52" s="149"/>
      <c r="Z52" s="150">
        <f t="shared" ref="Z52:AC52" si="13">COUNTIFS(Z8:Z47,"Proceso")</f>
        <v>3</v>
      </c>
      <c r="AA52" s="150">
        <f t="shared" si="13"/>
        <v>7</v>
      </c>
      <c r="AB52" s="150">
        <f t="shared" si="13"/>
        <v>1</v>
      </c>
      <c r="AC52" s="150">
        <f t="shared" si="13"/>
        <v>10</v>
      </c>
      <c r="AD52" s="4"/>
      <c r="AE52" s="4"/>
      <c r="AF52" s="4"/>
      <c r="AG52" s="4"/>
    </row>
    <row r="53" ht="19.5" customHeight="1">
      <c r="A53" s="6"/>
      <c r="B53" s="6"/>
      <c r="C53" s="151"/>
      <c r="D53" s="4"/>
      <c r="E53" s="4"/>
      <c r="F53" s="4"/>
      <c r="G53" s="4"/>
      <c r="H53" s="4"/>
      <c r="I53" s="152"/>
      <c r="J53" s="4"/>
      <c r="K53" s="4"/>
      <c r="L53" s="4"/>
      <c r="M53" s="4"/>
      <c r="N53" s="4"/>
      <c r="O53" s="4"/>
      <c r="P53" s="153"/>
      <c r="Q53" s="152"/>
      <c r="R53" s="4"/>
      <c r="S53" s="4"/>
      <c r="T53" s="4"/>
      <c r="U53" s="4"/>
      <c r="V53" s="153"/>
      <c r="W53" s="4"/>
      <c r="X53" s="154" t="s">
        <v>69</v>
      </c>
      <c r="Y53" s="149"/>
      <c r="Z53" s="150">
        <f t="shared" ref="Z53:AC53" si="14">COUNTIFS(Z8:Z47,"Inicio")</f>
        <v>9</v>
      </c>
      <c r="AA53" s="150">
        <f t="shared" si="14"/>
        <v>1</v>
      </c>
      <c r="AB53" s="150">
        <f t="shared" si="14"/>
        <v>12</v>
      </c>
      <c r="AC53" s="150">
        <f t="shared" si="14"/>
        <v>9</v>
      </c>
      <c r="AD53" s="4"/>
      <c r="AE53" s="4"/>
      <c r="AF53" s="4"/>
      <c r="AG53" s="4"/>
    </row>
    <row r="54" ht="19.5" customHeight="1">
      <c r="A54" s="6"/>
      <c r="B54" s="6"/>
      <c r="C54" s="155"/>
      <c r="D54" s="4"/>
      <c r="E54" s="4"/>
      <c r="F54" s="4"/>
      <c r="G54" s="4"/>
      <c r="H54" s="4"/>
      <c r="I54" s="152"/>
      <c r="J54" s="4"/>
      <c r="K54" s="4"/>
      <c r="L54" s="4"/>
      <c r="M54" s="4"/>
      <c r="N54" s="4"/>
      <c r="O54" s="4"/>
      <c r="P54" s="153"/>
      <c r="Q54" s="152"/>
      <c r="R54" s="4"/>
      <c r="S54" s="4"/>
      <c r="T54" s="4"/>
      <c r="U54" s="4"/>
      <c r="V54" s="153"/>
      <c r="W54" s="4"/>
      <c r="X54" s="156" t="s">
        <v>70</v>
      </c>
      <c r="Y54" s="157"/>
      <c r="Z54" s="158">
        <f t="shared" ref="Z54:AC54" si="15">COUNTIFS(Z8:Z47,"Previo al inicio")</f>
        <v>7</v>
      </c>
      <c r="AA54" s="158">
        <f t="shared" si="15"/>
        <v>0</v>
      </c>
      <c r="AB54" s="158">
        <f t="shared" si="15"/>
        <v>6</v>
      </c>
      <c r="AC54" s="158">
        <f t="shared" si="15"/>
        <v>0</v>
      </c>
      <c r="AD54" s="4"/>
      <c r="AE54" s="4"/>
      <c r="AF54" s="4"/>
      <c r="AG54" s="4"/>
    </row>
    <row r="55" ht="14.25" customHeight="1">
      <c r="A55" s="159" t="s">
        <v>71</v>
      </c>
      <c r="B55" s="160"/>
      <c r="C55" s="161" t="str">
        <f t="shared" ref="C55:V55" si="16">IF(COUNTIF(C8:C47,3)/COUNTA(C8:C47)&lt;=0.25,"Previo al inicio",
   IF(COUNTIF(C8:C47,3)/COUNTA(C8:C47)&lt;=0.5,"Inicio",
   IF(COUNTIF(C8:C47,3)/COUNTA(C8:C47)&lt;=0.75,"Proceso",
   "Logrado")))</f>
        <v>Logrado</v>
      </c>
      <c r="D55" s="161" t="str">
        <f t="shared" si="16"/>
        <v>Inicio</v>
      </c>
      <c r="E55" s="161" t="str">
        <f t="shared" si="16"/>
        <v>Proceso</v>
      </c>
      <c r="F55" s="161" t="str">
        <f t="shared" si="16"/>
        <v>Previo al inicio</v>
      </c>
      <c r="G55" s="161" t="str">
        <f t="shared" si="16"/>
        <v>Previo al inicio</v>
      </c>
      <c r="H55" s="162" t="str">
        <f t="shared" si="16"/>
        <v>Previo al inicio</v>
      </c>
      <c r="I55" s="163" t="str">
        <f t="shared" si="16"/>
        <v>Logrado</v>
      </c>
      <c r="J55" s="161" t="str">
        <f t="shared" si="16"/>
        <v>Logrado</v>
      </c>
      <c r="K55" s="161" t="str">
        <f t="shared" si="16"/>
        <v>Logrado</v>
      </c>
      <c r="L55" s="161" t="str">
        <f t="shared" si="16"/>
        <v>Logrado</v>
      </c>
      <c r="M55" s="161" t="str">
        <f t="shared" si="16"/>
        <v>Logrado</v>
      </c>
      <c r="N55" s="161" t="str">
        <f t="shared" si="16"/>
        <v>Previo al inicio</v>
      </c>
      <c r="O55" s="161" t="str">
        <f t="shared" si="16"/>
        <v>Logrado</v>
      </c>
      <c r="P55" s="164" t="str">
        <f t="shared" si="16"/>
        <v>Logrado</v>
      </c>
      <c r="Q55" s="163" t="str">
        <f t="shared" si="16"/>
        <v>Previo al inicio</v>
      </c>
      <c r="R55" s="161" t="str">
        <f t="shared" si="16"/>
        <v>Previo al inicio</v>
      </c>
      <c r="S55" s="161" t="str">
        <f t="shared" si="16"/>
        <v>Inicio</v>
      </c>
      <c r="T55" s="161" t="str">
        <f t="shared" si="16"/>
        <v>Logrado</v>
      </c>
      <c r="U55" s="161" t="str">
        <f t="shared" si="16"/>
        <v>Inicio</v>
      </c>
      <c r="V55" s="164" t="str">
        <f t="shared" si="16"/>
        <v>Previo al inicio</v>
      </c>
      <c r="W55" s="4"/>
      <c r="X55" s="165" t="s">
        <v>72</v>
      </c>
      <c r="Y55" s="166"/>
      <c r="Z55" s="167">
        <f t="shared" ref="Z55:AC55" si="17">SUM(Z51:Z54)</f>
        <v>19</v>
      </c>
      <c r="AA55" s="167">
        <f t="shared" si="17"/>
        <v>19</v>
      </c>
      <c r="AB55" s="167">
        <f t="shared" si="17"/>
        <v>19</v>
      </c>
      <c r="AC55" s="167">
        <f t="shared" si="17"/>
        <v>19</v>
      </c>
      <c r="AD55" s="4"/>
      <c r="AE55" s="4"/>
      <c r="AF55" s="4"/>
      <c r="AG55" s="4"/>
    </row>
    <row r="56" ht="25.5" customHeight="1">
      <c r="A56" s="168" t="s">
        <v>73</v>
      </c>
      <c r="B56" s="169"/>
      <c r="C56" s="170" t="str">
        <f>IF(SUM(C49:H49)&lt;=150%,"Previo al inicio",
   IF(SUM(C49:H49)&lt;=300%,"Inicio",
   IF(SUM(C49:H49)&lt;=450%,"Proceso",
   "Logrado")))</f>
        <v>Inicio</v>
      </c>
      <c r="D56" s="169"/>
      <c r="E56" s="169"/>
      <c r="F56" s="169"/>
      <c r="G56" s="169"/>
      <c r="H56" s="169"/>
      <c r="I56" s="171" t="str">
        <f>IF(SUM(I49:P49)&lt;=200%,"Previo al inicio",
   IF(SUM(I49:P49)&lt;=400%,"Inicio",
   IF(SUM(I49:P49)&lt;=600%,"Proceso",
   "Logrado")))</f>
        <v>Logrado</v>
      </c>
      <c r="J56" s="172"/>
      <c r="K56" s="172"/>
      <c r="L56" s="172"/>
      <c r="M56" s="172"/>
      <c r="N56" s="172"/>
      <c r="O56" s="172"/>
      <c r="P56" s="173"/>
      <c r="Q56" s="171" t="str">
        <f>IF(SUM(Q49:V49)&lt;=150%,"Previo al inicio",
   IF(SUM(Q49:V49)&lt;=300%,"Inicio",
   IF(SUM(Q49:V49)&lt;=450%,"Proceso",
   "Logrado")))</f>
        <v>Inicio</v>
      </c>
      <c r="R56" s="172"/>
      <c r="S56" s="172"/>
      <c r="T56" s="172"/>
      <c r="U56" s="172"/>
      <c r="V56" s="173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ht="14.25" customHeight="1">
      <c r="A59" s="4"/>
      <c r="B59" s="174" t="s">
        <v>74</v>
      </c>
      <c r="C59" s="11"/>
      <c r="D59" s="2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ht="14.25" customHeight="1">
      <c r="A60" s="4"/>
      <c r="B60" s="175" t="s">
        <v>19</v>
      </c>
      <c r="C60" s="139" t="s">
        <v>75</v>
      </c>
      <c r="D60" s="176">
        <v>3.0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ht="14.25" customHeight="1">
      <c r="A61" s="4"/>
      <c r="B61" s="177" t="s">
        <v>20</v>
      </c>
      <c r="C61" s="150" t="s">
        <v>76</v>
      </c>
      <c r="D61" s="178">
        <v>1.0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ht="14.25" customHeight="1">
      <c r="A62" s="4"/>
      <c r="B62" s="179" t="s">
        <v>21</v>
      </c>
      <c r="C62" s="158" t="s">
        <v>77</v>
      </c>
      <c r="D62" s="180">
        <v>0.0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8">
    <mergeCell ref="Z5:AB5"/>
    <mergeCell ref="AC5:AC7"/>
    <mergeCell ref="Z6:Z7"/>
    <mergeCell ref="AA6:AA7"/>
    <mergeCell ref="AB6:AB7"/>
    <mergeCell ref="A1:AC1"/>
    <mergeCell ref="A3:B3"/>
    <mergeCell ref="A5:A7"/>
    <mergeCell ref="C5:H5"/>
    <mergeCell ref="I5:P5"/>
    <mergeCell ref="Q5:V5"/>
    <mergeCell ref="W5:Y5"/>
    <mergeCell ref="Y6:Y7"/>
    <mergeCell ref="AA49:AA50"/>
    <mergeCell ref="AB49:AB50"/>
    <mergeCell ref="AD49:AD50"/>
    <mergeCell ref="X51:Y51"/>
    <mergeCell ref="X52:Y52"/>
    <mergeCell ref="X53:Y53"/>
    <mergeCell ref="X54:Y54"/>
    <mergeCell ref="X55:Y55"/>
    <mergeCell ref="W6:W7"/>
    <mergeCell ref="X6:X7"/>
    <mergeCell ref="A48:B48"/>
    <mergeCell ref="X48:AC48"/>
    <mergeCell ref="X49:Y50"/>
    <mergeCell ref="Z49:Z50"/>
    <mergeCell ref="AC49:AC50"/>
    <mergeCell ref="I56:P56"/>
    <mergeCell ref="Q56:V56"/>
    <mergeCell ref="A49:B49"/>
    <mergeCell ref="A50:B50"/>
    <mergeCell ref="A51:B51"/>
    <mergeCell ref="A52:B52"/>
    <mergeCell ref="A55:B55"/>
    <mergeCell ref="A56:B56"/>
    <mergeCell ref="C56:H56"/>
    <mergeCell ref="B59:D59"/>
  </mergeCells>
  <conditionalFormatting sqref="C56:I56 Q56">
    <cfRule type="expression" dxfId="0" priority="1">
      <formula>C56="Previo al inicio"</formula>
    </cfRule>
  </conditionalFormatting>
  <conditionalFormatting sqref="C56:I56 Q56">
    <cfRule type="expression" dxfId="1" priority="2">
      <formula>C56="Inicio"</formula>
    </cfRule>
  </conditionalFormatting>
  <conditionalFormatting sqref="C56:I56 Q56">
    <cfRule type="expression" dxfId="2" priority="3">
      <formula>C56="Proceso"</formula>
    </cfRule>
  </conditionalFormatting>
  <conditionalFormatting sqref="C56:I56 Q56">
    <cfRule type="expression" dxfId="3" priority="4">
      <formula>C56="Logrado"</formula>
    </cfRule>
  </conditionalFormatting>
  <conditionalFormatting sqref="C55:V55">
    <cfRule type="expression" dxfId="3" priority="5">
      <formula>C55="Logrado"</formula>
    </cfRule>
  </conditionalFormatting>
  <conditionalFormatting sqref="C55:V55">
    <cfRule type="expression" dxfId="2" priority="6">
      <formula>C55="Proceso"</formula>
    </cfRule>
  </conditionalFormatting>
  <conditionalFormatting sqref="C55:V55">
    <cfRule type="expression" dxfId="1" priority="7">
      <formula>C55="Inicio"</formula>
    </cfRule>
  </conditionalFormatting>
  <conditionalFormatting sqref="C55:V55">
    <cfRule type="expression" dxfId="0" priority="8">
      <formula>C55="Previo al Inicio"</formula>
    </cfRule>
  </conditionalFormatting>
  <conditionalFormatting sqref="Z8:AB47">
    <cfRule type="expression" dxfId="0" priority="9">
      <formula>Z8="Previo al inicio"</formula>
    </cfRule>
  </conditionalFormatting>
  <conditionalFormatting sqref="Z8:AB47">
    <cfRule type="expression" dxfId="1" priority="10">
      <formula>Z8="Inicio"</formula>
    </cfRule>
  </conditionalFormatting>
  <conditionalFormatting sqref="Z8:AB47">
    <cfRule type="expression" dxfId="2" priority="11">
      <formula>Z8="Proceso"</formula>
    </cfRule>
  </conditionalFormatting>
  <conditionalFormatting sqref="Z8:AC47">
    <cfRule type="expression" dxfId="3" priority="12">
      <formula>Z8="Logrado"</formula>
    </cfRule>
  </conditionalFormatting>
  <conditionalFormatting sqref="AC8:AC47">
    <cfRule type="expression" dxfId="2" priority="13">
      <formula>AC8="Proceso"</formula>
    </cfRule>
  </conditionalFormatting>
  <conditionalFormatting sqref="AC8:AC47">
    <cfRule type="expression" dxfId="1" priority="14">
      <formula>AC8="Inicio"</formula>
    </cfRule>
  </conditionalFormatting>
  <conditionalFormatting sqref="AC8:AC47">
    <cfRule type="expression" dxfId="0" priority="15">
      <formula>AC8="Previo al Inicio"</formula>
    </cfRule>
  </conditionalFormatting>
  <dataValidations>
    <dataValidation type="list" allowBlank="1" showErrorMessage="1" sqref="C8:V47">
      <formula1>"0,1,3"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2025-03-11T01:34:48Z</dcterms:created>
  <dc:creator>Toshiba</dc:creator>
</cp:coreProperties>
</file>