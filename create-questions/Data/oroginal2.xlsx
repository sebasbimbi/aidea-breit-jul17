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2026\WILI ADOP. 2026\EV DIAG PRIMARIA DREH\PRIMARIA\MATEMÁTICA\"/>
    </mc:Choice>
  </mc:AlternateContent>
  <xr:revisionPtr revIDLastSave="0" documentId="13_ncr:1_{8D2DC392-EC79-45C7-8AA4-C71EB6416D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° MAT." sheetId="2" r:id="rId1"/>
    <sheet name="2° MAT." sheetId="3" r:id="rId2"/>
    <sheet name="3° MAT." sheetId="4" r:id="rId3"/>
    <sheet name="4° MAT." sheetId="1" r:id="rId4"/>
    <sheet name="5° MAT." sheetId="5" r:id="rId5"/>
    <sheet name="6° MAT." sheetId="6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9" i="2" l="1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D50" i="2"/>
  <c r="E50" i="2"/>
  <c r="E53" i="2" s="1"/>
  <c r="F50" i="2"/>
  <c r="F53" i="2" s="1"/>
  <c r="G50" i="2"/>
  <c r="H50" i="2"/>
  <c r="H53" i="2" s="1"/>
  <c r="I50" i="2"/>
  <c r="J50" i="2"/>
  <c r="K50" i="2"/>
  <c r="L50" i="2"/>
  <c r="M50" i="2"/>
  <c r="N50" i="2"/>
  <c r="O50" i="2"/>
  <c r="P50" i="2"/>
  <c r="Q50" i="2"/>
  <c r="R50" i="2"/>
  <c r="S50" i="2"/>
  <c r="T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D52" i="2"/>
  <c r="E52" i="2"/>
  <c r="F52" i="2"/>
  <c r="G52" i="2"/>
  <c r="H52" i="2"/>
  <c r="I52" i="2"/>
  <c r="J52" i="2"/>
  <c r="K52" i="2"/>
  <c r="K53" i="2" s="1"/>
  <c r="L52" i="2"/>
  <c r="M52" i="2"/>
  <c r="N52" i="2"/>
  <c r="O52" i="2"/>
  <c r="P52" i="2"/>
  <c r="Q52" i="2"/>
  <c r="R52" i="2"/>
  <c r="S52" i="2"/>
  <c r="T52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C55" i="2"/>
  <c r="R53" i="2" l="1"/>
  <c r="O53" i="2"/>
  <c r="Q53" i="2"/>
  <c r="N53" i="2"/>
  <c r="D53" i="2"/>
  <c r="J53" i="2"/>
  <c r="M53" i="2"/>
  <c r="L53" i="2"/>
  <c r="I53" i="2"/>
  <c r="G53" i="2"/>
  <c r="T53" i="2"/>
  <c r="S53" i="2"/>
  <c r="P53" i="2"/>
  <c r="U8" i="2"/>
  <c r="U12" i="2"/>
  <c r="G56" i="6" l="1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D50" i="6"/>
  <c r="E50" i="6"/>
  <c r="F50" i="6"/>
  <c r="G50" i="6"/>
  <c r="H50" i="6"/>
  <c r="I50" i="6"/>
  <c r="J50" i="6"/>
  <c r="K50" i="6"/>
  <c r="L50" i="6"/>
  <c r="L53" i="6" s="1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Q53" i="6" s="1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I9" i="6"/>
  <c r="AJ9" i="6"/>
  <c r="AK9" i="6"/>
  <c r="AL9" i="6"/>
  <c r="AM9" i="6"/>
  <c r="AI10" i="6"/>
  <c r="AJ10" i="6"/>
  <c r="AK10" i="6"/>
  <c r="AL10" i="6"/>
  <c r="AM10" i="6"/>
  <c r="AI11" i="6"/>
  <c r="AJ11" i="6"/>
  <c r="AK11" i="6"/>
  <c r="AL11" i="6"/>
  <c r="AM11" i="6"/>
  <c r="AI12" i="6"/>
  <c r="AJ12" i="6"/>
  <c r="AK12" i="6"/>
  <c r="AL12" i="6"/>
  <c r="AM12" i="6"/>
  <c r="AI13" i="6"/>
  <c r="AJ13" i="6"/>
  <c r="AK13" i="6"/>
  <c r="AL13" i="6"/>
  <c r="AM13" i="6"/>
  <c r="AI14" i="6"/>
  <c r="AJ14" i="6"/>
  <c r="AK14" i="6"/>
  <c r="AL14" i="6"/>
  <c r="AM14" i="6"/>
  <c r="AI15" i="6"/>
  <c r="AJ15" i="6"/>
  <c r="AK15" i="6"/>
  <c r="AL15" i="6"/>
  <c r="AM15" i="6"/>
  <c r="AI16" i="6"/>
  <c r="AJ16" i="6"/>
  <c r="AK16" i="6"/>
  <c r="AL16" i="6"/>
  <c r="AM16" i="6"/>
  <c r="AI17" i="6"/>
  <c r="AJ17" i="6"/>
  <c r="AK17" i="6"/>
  <c r="AL17" i="6"/>
  <c r="AM17" i="6"/>
  <c r="AI18" i="6"/>
  <c r="AJ18" i="6"/>
  <c r="AK18" i="6"/>
  <c r="AL18" i="6"/>
  <c r="AM18" i="6"/>
  <c r="AI19" i="6"/>
  <c r="AJ19" i="6"/>
  <c r="AK19" i="6"/>
  <c r="AL19" i="6"/>
  <c r="AM19" i="6"/>
  <c r="AI20" i="6"/>
  <c r="AJ20" i="6"/>
  <c r="AK20" i="6"/>
  <c r="AL20" i="6"/>
  <c r="AM20" i="6"/>
  <c r="AI21" i="6"/>
  <c r="AJ21" i="6"/>
  <c r="AK21" i="6"/>
  <c r="AL21" i="6"/>
  <c r="AM21" i="6"/>
  <c r="AI22" i="6"/>
  <c r="AJ22" i="6"/>
  <c r="AK22" i="6"/>
  <c r="AL22" i="6"/>
  <c r="AM22" i="6"/>
  <c r="AI23" i="6"/>
  <c r="AJ23" i="6"/>
  <c r="AK23" i="6"/>
  <c r="AL23" i="6"/>
  <c r="AM23" i="6"/>
  <c r="AI24" i="6"/>
  <c r="AJ24" i="6"/>
  <c r="AK24" i="6"/>
  <c r="AL24" i="6"/>
  <c r="AM24" i="6"/>
  <c r="AI25" i="6"/>
  <c r="AJ25" i="6"/>
  <c r="AK25" i="6"/>
  <c r="AL25" i="6"/>
  <c r="AM25" i="6"/>
  <c r="AI26" i="6"/>
  <c r="AJ26" i="6"/>
  <c r="AK26" i="6"/>
  <c r="AL26" i="6"/>
  <c r="AM26" i="6"/>
  <c r="AI27" i="6"/>
  <c r="AJ27" i="6"/>
  <c r="AK27" i="6"/>
  <c r="AL27" i="6"/>
  <c r="AM27" i="6"/>
  <c r="AI28" i="6"/>
  <c r="AJ28" i="6"/>
  <c r="AK28" i="6"/>
  <c r="AL28" i="6"/>
  <c r="AM28" i="6"/>
  <c r="AI29" i="6"/>
  <c r="AJ29" i="6"/>
  <c r="AK29" i="6"/>
  <c r="AL29" i="6"/>
  <c r="AM29" i="6"/>
  <c r="AI30" i="6"/>
  <c r="AJ30" i="6"/>
  <c r="AK30" i="6"/>
  <c r="AL30" i="6"/>
  <c r="AM30" i="6"/>
  <c r="AI31" i="6"/>
  <c r="AJ31" i="6"/>
  <c r="AK31" i="6"/>
  <c r="AL31" i="6"/>
  <c r="AM31" i="6"/>
  <c r="AI32" i="6"/>
  <c r="AJ32" i="6"/>
  <c r="AK32" i="6"/>
  <c r="AL32" i="6"/>
  <c r="AM32" i="6"/>
  <c r="AI33" i="6"/>
  <c r="AJ33" i="6"/>
  <c r="AK33" i="6"/>
  <c r="AL33" i="6"/>
  <c r="AM33" i="6"/>
  <c r="AI34" i="6"/>
  <c r="AJ34" i="6"/>
  <c r="AK34" i="6"/>
  <c r="AL34" i="6"/>
  <c r="AM34" i="6"/>
  <c r="AI35" i="6"/>
  <c r="AJ35" i="6"/>
  <c r="AK35" i="6"/>
  <c r="AL35" i="6"/>
  <c r="AM35" i="6"/>
  <c r="AI36" i="6"/>
  <c r="AJ36" i="6"/>
  <c r="AK36" i="6"/>
  <c r="AL36" i="6"/>
  <c r="AM36" i="6"/>
  <c r="AI37" i="6"/>
  <c r="AJ37" i="6"/>
  <c r="AK37" i="6"/>
  <c r="AL37" i="6"/>
  <c r="AM37" i="6"/>
  <c r="AI38" i="6"/>
  <c r="AJ38" i="6"/>
  <c r="AK38" i="6"/>
  <c r="AL38" i="6"/>
  <c r="AM38" i="6"/>
  <c r="AI39" i="6"/>
  <c r="AJ39" i="6"/>
  <c r="AK39" i="6"/>
  <c r="AL39" i="6"/>
  <c r="AM39" i="6"/>
  <c r="AI40" i="6"/>
  <c r="AJ40" i="6"/>
  <c r="AK40" i="6"/>
  <c r="AL40" i="6"/>
  <c r="AM40" i="6"/>
  <c r="AI41" i="6"/>
  <c r="AJ41" i="6"/>
  <c r="AK41" i="6"/>
  <c r="AL41" i="6"/>
  <c r="AM41" i="6"/>
  <c r="AI42" i="6"/>
  <c r="AJ42" i="6"/>
  <c r="AK42" i="6"/>
  <c r="AL42" i="6"/>
  <c r="AM42" i="6"/>
  <c r="AI43" i="6"/>
  <c r="AJ43" i="6"/>
  <c r="AK43" i="6"/>
  <c r="AL43" i="6"/>
  <c r="AM43" i="6"/>
  <c r="AI44" i="6"/>
  <c r="AJ44" i="6"/>
  <c r="AK44" i="6"/>
  <c r="AL44" i="6"/>
  <c r="AM44" i="6"/>
  <c r="AI45" i="6"/>
  <c r="AJ45" i="6"/>
  <c r="AK45" i="6"/>
  <c r="AL45" i="6"/>
  <c r="AM45" i="6"/>
  <c r="AI46" i="6"/>
  <c r="AJ46" i="6"/>
  <c r="AK46" i="6"/>
  <c r="AL46" i="6"/>
  <c r="AM46" i="6"/>
  <c r="AI47" i="6"/>
  <c r="AJ47" i="6"/>
  <c r="AK47" i="6"/>
  <c r="AL47" i="6"/>
  <c r="AM47" i="6"/>
  <c r="AM8" i="6"/>
  <c r="AL8" i="6"/>
  <c r="AK8" i="6"/>
  <c r="AJ8" i="6"/>
  <c r="AI8" i="6"/>
  <c r="AD56" i="6"/>
  <c r="F56" i="6"/>
  <c r="E56" i="6"/>
  <c r="D56" i="6"/>
  <c r="C56" i="6"/>
  <c r="C52" i="6"/>
  <c r="C51" i="6"/>
  <c r="C50" i="6"/>
  <c r="C49" i="6"/>
  <c r="AH47" i="6"/>
  <c r="AG47" i="6"/>
  <c r="AF47" i="6"/>
  <c r="AE47" i="6"/>
  <c r="AH46" i="6"/>
  <c r="AG46" i="6"/>
  <c r="AF46" i="6"/>
  <c r="AE46" i="6"/>
  <c r="AH45" i="6"/>
  <c r="AG45" i="6"/>
  <c r="AF45" i="6"/>
  <c r="AE45" i="6"/>
  <c r="AH44" i="6"/>
  <c r="AG44" i="6"/>
  <c r="AF44" i="6"/>
  <c r="AE44" i="6"/>
  <c r="AH43" i="6"/>
  <c r="AG43" i="6"/>
  <c r="AF43" i="6"/>
  <c r="AE43" i="6"/>
  <c r="AH42" i="6"/>
  <c r="AG42" i="6"/>
  <c r="AF42" i="6"/>
  <c r="AE42" i="6"/>
  <c r="AH41" i="6"/>
  <c r="AG41" i="6"/>
  <c r="AF41" i="6"/>
  <c r="AE41" i="6"/>
  <c r="AH40" i="6"/>
  <c r="AG40" i="6"/>
  <c r="AF40" i="6"/>
  <c r="AE40" i="6"/>
  <c r="AH39" i="6"/>
  <c r="AG39" i="6"/>
  <c r="AF39" i="6"/>
  <c r="AE39" i="6"/>
  <c r="AH38" i="6"/>
  <c r="AG38" i="6"/>
  <c r="AF38" i="6"/>
  <c r="AE38" i="6"/>
  <c r="AH37" i="6"/>
  <c r="AG37" i="6"/>
  <c r="AF37" i="6"/>
  <c r="AE37" i="6"/>
  <c r="AH36" i="6"/>
  <c r="AG36" i="6"/>
  <c r="AF36" i="6"/>
  <c r="AE36" i="6"/>
  <c r="AH35" i="6"/>
  <c r="AG35" i="6"/>
  <c r="AF35" i="6"/>
  <c r="AE35" i="6"/>
  <c r="AH34" i="6"/>
  <c r="AG34" i="6"/>
  <c r="AF34" i="6"/>
  <c r="AE34" i="6"/>
  <c r="AH33" i="6"/>
  <c r="AG33" i="6"/>
  <c r="AF33" i="6"/>
  <c r="AE33" i="6"/>
  <c r="AH32" i="6"/>
  <c r="AG32" i="6"/>
  <c r="AF32" i="6"/>
  <c r="AE32" i="6"/>
  <c r="AH31" i="6"/>
  <c r="AG31" i="6"/>
  <c r="AF31" i="6"/>
  <c r="AE31" i="6"/>
  <c r="AH30" i="6"/>
  <c r="AG30" i="6"/>
  <c r="AF30" i="6"/>
  <c r="AE30" i="6"/>
  <c r="AH29" i="6"/>
  <c r="AG29" i="6"/>
  <c r="AF29" i="6"/>
  <c r="AE29" i="6"/>
  <c r="AH28" i="6"/>
  <c r="AG28" i="6"/>
  <c r="AF28" i="6"/>
  <c r="AE28" i="6"/>
  <c r="AH27" i="6"/>
  <c r="AG27" i="6"/>
  <c r="AF27" i="6"/>
  <c r="AE27" i="6"/>
  <c r="AH26" i="6"/>
  <c r="AG26" i="6"/>
  <c r="AF26" i="6"/>
  <c r="AE26" i="6"/>
  <c r="AH25" i="6"/>
  <c r="AG25" i="6"/>
  <c r="AF25" i="6"/>
  <c r="AE25" i="6"/>
  <c r="AH24" i="6"/>
  <c r="AG24" i="6"/>
  <c r="AF24" i="6"/>
  <c r="AE24" i="6"/>
  <c r="AH23" i="6"/>
  <c r="AG23" i="6"/>
  <c r="AF23" i="6"/>
  <c r="AE23" i="6"/>
  <c r="AH22" i="6"/>
  <c r="AG22" i="6"/>
  <c r="AF22" i="6"/>
  <c r="AE22" i="6"/>
  <c r="AH21" i="6"/>
  <c r="AG21" i="6"/>
  <c r="AF21" i="6"/>
  <c r="AE21" i="6"/>
  <c r="AH20" i="6"/>
  <c r="AG20" i="6"/>
  <c r="AF20" i="6"/>
  <c r="AE20" i="6"/>
  <c r="AH19" i="6"/>
  <c r="AG19" i="6"/>
  <c r="AF19" i="6"/>
  <c r="AE19" i="6"/>
  <c r="AH18" i="6"/>
  <c r="AG18" i="6"/>
  <c r="AF18" i="6"/>
  <c r="AE18" i="6"/>
  <c r="AH17" i="6"/>
  <c r="AG17" i="6"/>
  <c r="AF17" i="6"/>
  <c r="AE17" i="6"/>
  <c r="AH16" i="6"/>
  <c r="AG16" i="6"/>
  <c r="AF16" i="6"/>
  <c r="AE16" i="6"/>
  <c r="AH15" i="6"/>
  <c r="AG15" i="6"/>
  <c r="AF15" i="6"/>
  <c r="AE15" i="6"/>
  <c r="AH14" i="6"/>
  <c r="AG14" i="6"/>
  <c r="AF14" i="6"/>
  <c r="AE14" i="6"/>
  <c r="AH13" i="6"/>
  <c r="AG13" i="6"/>
  <c r="AF13" i="6"/>
  <c r="AE13" i="6"/>
  <c r="AH12" i="6"/>
  <c r="AG12" i="6"/>
  <c r="AF12" i="6"/>
  <c r="AE12" i="6"/>
  <c r="AH11" i="6"/>
  <c r="AG11" i="6"/>
  <c r="AF11" i="6"/>
  <c r="AE11" i="6"/>
  <c r="AH10" i="6"/>
  <c r="AG10" i="6"/>
  <c r="AF10" i="6"/>
  <c r="AE10" i="6"/>
  <c r="AH9" i="6"/>
  <c r="AG9" i="6"/>
  <c r="AF9" i="6"/>
  <c r="AE9" i="6"/>
  <c r="AH8" i="6"/>
  <c r="AG8" i="6"/>
  <c r="AF8" i="6"/>
  <c r="AE8" i="6"/>
  <c r="V56" i="5"/>
  <c r="W56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T53" i="5" s="1"/>
  <c r="U49" i="5"/>
  <c r="V49" i="5"/>
  <c r="W49" i="5"/>
  <c r="X49" i="5"/>
  <c r="Y49" i="5"/>
  <c r="Z49" i="5"/>
  <c r="AA49" i="5"/>
  <c r="D50" i="5"/>
  <c r="E50" i="5"/>
  <c r="E53" i="5" s="1"/>
  <c r="F50" i="5"/>
  <c r="G50" i="5"/>
  <c r="H50" i="5"/>
  <c r="I50" i="5"/>
  <c r="J50" i="5"/>
  <c r="K50" i="5"/>
  <c r="L50" i="5"/>
  <c r="L53" i="5" s="1"/>
  <c r="M50" i="5"/>
  <c r="N50" i="5"/>
  <c r="O50" i="5"/>
  <c r="P50" i="5"/>
  <c r="P53" i="5" s="1"/>
  <c r="Q50" i="5"/>
  <c r="Q53" i="5" s="1"/>
  <c r="R50" i="5"/>
  <c r="S50" i="5"/>
  <c r="T50" i="5"/>
  <c r="U50" i="5"/>
  <c r="V50" i="5"/>
  <c r="W50" i="5"/>
  <c r="X50" i="5"/>
  <c r="Y50" i="5"/>
  <c r="Z50" i="5"/>
  <c r="AA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D52" i="5"/>
  <c r="E52" i="5"/>
  <c r="F52" i="5"/>
  <c r="G52" i="5"/>
  <c r="H52" i="5"/>
  <c r="I52" i="5"/>
  <c r="J52" i="5"/>
  <c r="J53" i="5" s="1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D53" i="5"/>
  <c r="F53" i="5"/>
  <c r="G53" i="5"/>
  <c r="H53" i="5"/>
  <c r="I53" i="5"/>
  <c r="K53" i="5"/>
  <c r="M53" i="5"/>
  <c r="N53" i="5"/>
  <c r="O53" i="5"/>
  <c r="S53" i="5"/>
  <c r="V53" i="5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D50" i="4"/>
  <c r="D53" i="4" s="1"/>
  <c r="E50" i="4"/>
  <c r="F50" i="4"/>
  <c r="G50" i="4"/>
  <c r="H50" i="4"/>
  <c r="I50" i="4"/>
  <c r="J50" i="4"/>
  <c r="K50" i="4"/>
  <c r="K53" i="4" s="1"/>
  <c r="L50" i="4"/>
  <c r="M50" i="4"/>
  <c r="N50" i="4"/>
  <c r="O50" i="4"/>
  <c r="O53" i="4" s="1"/>
  <c r="P50" i="4"/>
  <c r="P53" i="4" s="1"/>
  <c r="Q50" i="4"/>
  <c r="R50" i="4"/>
  <c r="S50" i="4"/>
  <c r="T50" i="4"/>
  <c r="T53" i="4" s="1"/>
  <c r="U50" i="4"/>
  <c r="V50" i="4"/>
  <c r="W50" i="4"/>
  <c r="X50" i="4"/>
  <c r="Y50" i="4"/>
  <c r="Z50" i="4"/>
  <c r="AA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D52" i="4"/>
  <c r="E52" i="4"/>
  <c r="E53" i="4" s="1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U53" i="4" s="1"/>
  <c r="V52" i="4"/>
  <c r="V53" i="4" s="1"/>
  <c r="W52" i="4"/>
  <c r="X52" i="4"/>
  <c r="Y52" i="4"/>
  <c r="Z52" i="4"/>
  <c r="AA52" i="4"/>
  <c r="F53" i="4"/>
  <c r="G53" i="4"/>
  <c r="H53" i="4"/>
  <c r="I53" i="4"/>
  <c r="J53" i="4"/>
  <c r="L53" i="4"/>
  <c r="M53" i="4"/>
  <c r="N53" i="4"/>
  <c r="Q53" i="4"/>
  <c r="R53" i="4"/>
  <c r="S53" i="4"/>
  <c r="W53" i="4"/>
  <c r="X53" i="4"/>
  <c r="D49" i="3"/>
  <c r="D53" i="3" s="1"/>
  <c r="E49" i="3"/>
  <c r="E53" i="3" s="1"/>
  <c r="F49" i="3"/>
  <c r="G49" i="3"/>
  <c r="H49" i="3"/>
  <c r="I49" i="3"/>
  <c r="J49" i="3"/>
  <c r="K49" i="3"/>
  <c r="L49" i="3"/>
  <c r="M49" i="3"/>
  <c r="M53" i="3" s="1"/>
  <c r="N49" i="3"/>
  <c r="N53" i="3" s="1"/>
  <c r="O49" i="3"/>
  <c r="P49" i="3"/>
  <c r="Q49" i="3"/>
  <c r="R49" i="3"/>
  <c r="R53" i="3" s="1"/>
  <c r="S49" i="3"/>
  <c r="S53" i="3" s="1"/>
  <c r="T49" i="3"/>
  <c r="U49" i="3"/>
  <c r="V49" i="3"/>
  <c r="W49" i="3"/>
  <c r="X49" i="3"/>
  <c r="Y49" i="3"/>
  <c r="Z49" i="3"/>
  <c r="AA49" i="3"/>
  <c r="D50" i="3"/>
  <c r="E50" i="3"/>
  <c r="F50" i="3"/>
  <c r="F53" i="3" s="1"/>
  <c r="G50" i="3"/>
  <c r="H50" i="3"/>
  <c r="I50" i="3"/>
  <c r="J50" i="3"/>
  <c r="J53" i="3" s="1"/>
  <c r="K50" i="3"/>
  <c r="K53" i="3" s="1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G53" i="3"/>
  <c r="H53" i="3"/>
  <c r="P56" i="2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A53" i="1" s="1"/>
  <c r="D50" i="1"/>
  <c r="E50" i="1"/>
  <c r="E53" i="1" s="1"/>
  <c r="F50" i="1"/>
  <c r="F53" i="1" s="1"/>
  <c r="G50" i="1"/>
  <c r="H50" i="1"/>
  <c r="I50" i="1"/>
  <c r="J50" i="1"/>
  <c r="J53" i="1" s="1"/>
  <c r="K50" i="1"/>
  <c r="L50" i="1"/>
  <c r="L53" i="1" s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D52" i="1"/>
  <c r="E52" i="1"/>
  <c r="F52" i="1"/>
  <c r="G52" i="1"/>
  <c r="H52" i="1"/>
  <c r="I52" i="1"/>
  <c r="J52" i="1"/>
  <c r="K52" i="1"/>
  <c r="K53" i="1" s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D53" i="1"/>
  <c r="G53" i="1"/>
  <c r="H53" i="1"/>
  <c r="I53" i="1"/>
  <c r="V53" i="1"/>
  <c r="W53" i="1"/>
  <c r="AF9" i="5"/>
  <c r="AG9" i="5"/>
  <c r="AH9" i="5"/>
  <c r="AI9" i="5"/>
  <c r="AJ9" i="5"/>
  <c r="AF10" i="5"/>
  <c r="AG10" i="5"/>
  <c r="AH10" i="5"/>
  <c r="AI10" i="5"/>
  <c r="AJ10" i="5"/>
  <c r="AF11" i="5"/>
  <c r="AG11" i="5"/>
  <c r="AH11" i="5"/>
  <c r="AI11" i="5"/>
  <c r="AJ11" i="5"/>
  <c r="AF12" i="5"/>
  <c r="AG12" i="5"/>
  <c r="AH12" i="5"/>
  <c r="AI12" i="5"/>
  <c r="AJ12" i="5"/>
  <c r="AF13" i="5"/>
  <c r="AG13" i="5"/>
  <c r="AH13" i="5"/>
  <c r="AI13" i="5"/>
  <c r="AJ13" i="5"/>
  <c r="AF14" i="5"/>
  <c r="AG14" i="5"/>
  <c r="AH14" i="5"/>
  <c r="AI14" i="5"/>
  <c r="AJ14" i="5"/>
  <c r="AF15" i="5"/>
  <c r="AG15" i="5"/>
  <c r="AH15" i="5"/>
  <c r="AI15" i="5"/>
  <c r="AJ15" i="5"/>
  <c r="AF16" i="5"/>
  <c r="AG16" i="5"/>
  <c r="AH16" i="5"/>
  <c r="AI16" i="5"/>
  <c r="AJ16" i="5"/>
  <c r="AF17" i="5"/>
  <c r="AG17" i="5"/>
  <c r="AH17" i="5"/>
  <c r="AI17" i="5"/>
  <c r="AJ17" i="5"/>
  <c r="AF18" i="5"/>
  <c r="AG18" i="5"/>
  <c r="AH18" i="5"/>
  <c r="AI18" i="5"/>
  <c r="AJ18" i="5"/>
  <c r="AF19" i="5"/>
  <c r="AG19" i="5"/>
  <c r="AH19" i="5"/>
  <c r="AI19" i="5"/>
  <c r="AJ19" i="5"/>
  <c r="AF20" i="5"/>
  <c r="AG20" i="5"/>
  <c r="AH20" i="5"/>
  <c r="AI20" i="5"/>
  <c r="AJ20" i="5"/>
  <c r="AF21" i="5"/>
  <c r="AG21" i="5"/>
  <c r="AH21" i="5"/>
  <c r="AI21" i="5"/>
  <c r="AJ21" i="5"/>
  <c r="AF22" i="5"/>
  <c r="AG22" i="5"/>
  <c r="AH22" i="5"/>
  <c r="AI22" i="5"/>
  <c r="AJ22" i="5"/>
  <c r="AF23" i="5"/>
  <c r="AG23" i="5"/>
  <c r="AH23" i="5"/>
  <c r="AI23" i="5"/>
  <c r="AJ23" i="5"/>
  <c r="AF24" i="5"/>
  <c r="AG24" i="5"/>
  <c r="AH24" i="5"/>
  <c r="AI24" i="5"/>
  <c r="AJ24" i="5"/>
  <c r="AF25" i="5"/>
  <c r="AG25" i="5"/>
  <c r="AH25" i="5"/>
  <c r="AI25" i="5"/>
  <c r="AJ25" i="5"/>
  <c r="AF26" i="5"/>
  <c r="AG26" i="5"/>
  <c r="AH26" i="5"/>
  <c r="AI26" i="5"/>
  <c r="AJ26" i="5"/>
  <c r="AF27" i="5"/>
  <c r="AG27" i="5"/>
  <c r="AH27" i="5"/>
  <c r="AI27" i="5"/>
  <c r="AJ27" i="5"/>
  <c r="AF28" i="5"/>
  <c r="AG28" i="5"/>
  <c r="AH28" i="5"/>
  <c r="AI28" i="5"/>
  <c r="AJ28" i="5"/>
  <c r="AF29" i="5"/>
  <c r="AG29" i="5"/>
  <c r="AH29" i="5"/>
  <c r="AI29" i="5"/>
  <c r="AJ29" i="5"/>
  <c r="AF30" i="5"/>
  <c r="AG30" i="5"/>
  <c r="AH30" i="5"/>
  <c r="AI30" i="5"/>
  <c r="AJ30" i="5"/>
  <c r="AF31" i="5"/>
  <c r="AG31" i="5"/>
  <c r="AH31" i="5"/>
  <c r="AI31" i="5"/>
  <c r="AJ31" i="5"/>
  <c r="AF32" i="5"/>
  <c r="AG32" i="5"/>
  <c r="AH32" i="5"/>
  <c r="AI32" i="5"/>
  <c r="AJ32" i="5"/>
  <c r="AF33" i="5"/>
  <c r="AG33" i="5"/>
  <c r="AH33" i="5"/>
  <c r="AI33" i="5"/>
  <c r="AJ33" i="5"/>
  <c r="AF34" i="5"/>
  <c r="AG34" i="5"/>
  <c r="AH34" i="5"/>
  <c r="AI34" i="5"/>
  <c r="AJ34" i="5"/>
  <c r="AF35" i="5"/>
  <c r="AG35" i="5"/>
  <c r="AH35" i="5"/>
  <c r="AI35" i="5"/>
  <c r="AJ35" i="5"/>
  <c r="AF36" i="5"/>
  <c r="AG36" i="5"/>
  <c r="AH36" i="5"/>
  <c r="AI36" i="5"/>
  <c r="AJ36" i="5"/>
  <c r="AF37" i="5"/>
  <c r="AG37" i="5"/>
  <c r="AH37" i="5"/>
  <c r="AI37" i="5"/>
  <c r="AJ37" i="5"/>
  <c r="AF38" i="5"/>
  <c r="AG38" i="5"/>
  <c r="AH38" i="5"/>
  <c r="AI38" i="5"/>
  <c r="AJ38" i="5"/>
  <c r="AF39" i="5"/>
  <c r="AG39" i="5"/>
  <c r="AH39" i="5"/>
  <c r="AI39" i="5"/>
  <c r="AJ39" i="5"/>
  <c r="AF40" i="5"/>
  <c r="AG40" i="5"/>
  <c r="AH40" i="5"/>
  <c r="AI40" i="5"/>
  <c r="AJ40" i="5"/>
  <c r="AF41" i="5"/>
  <c r="AG41" i="5"/>
  <c r="AH41" i="5"/>
  <c r="AI41" i="5"/>
  <c r="AJ41" i="5"/>
  <c r="AF42" i="5"/>
  <c r="AG42" i="5"/>
  <c r="AH42" i="5"/>
  <c r="AI42" i="5"/>
  <c r="AJ42" i="5"/>
  <c r="AF43" i="5"/>
  <c r="AG43" i="5"/>
  <c r="AH43" i="5"/>
  <c r="AI43" i="5"/>
  <c r="AJ43" i="5"/>
  <c r="AF44" i="5"/>
  <c r="AG44" i="5"/>
  <c r="AH44" i="5"/>
  <c r="AI44" i="5"/>
  <c r="AJ44" i="5"/>
  <c r="AF45" i="5"/>
  <c r="AG45" i="5"/>
  <c r="AH45" i="5"/>
  <c r="AI45" i="5"/>
  <c r="AJ45" i="5"/>
  <c r="AF46" i="5"/>
  <c r="AG46" i="5"/>
  <c r="AH46" i="5"/>
  <c r="AI46" i="5"/>
  <c r="AJ46" i="5"/>
  <c r="AF47" i="5"/>
  <c r="AG47" i="5"/>
  <c r="AH47" i="5"/>
  <c r="AI47" i="5"/>
  <c r="AJ47" i="5"/>
  <c r="AH8" i="5"/>
  <c r="AG8" i="5"/>
  <c r="AF8" i="5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8" i="1"/>
  <c r="AF9" i="4"/>
  <c r="AF10" i="4"/>
  <c r="AF11" i="4"/>
  <c r="AF12" i="4"/>
  <c r="AF13" i="4"/>
  <c r="AF54" i="4" s="1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8" i="3"/>
  <c r="AF8" i="4"/>
  <c r="AA56" i="5"/>
  <c r="Z56" i="5"/>
  <c r="Y56" i="5"/>
  <c r="X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C52" i="5"/>
  <c r="C51" i="5"/>
  <c r="C50" i="5"/>
  <c r="C49" i="5"/>
  <c r="C53" i="5" s="1"/>
  <c r="AE47" i="5"/>
  <c r="AD47" i="5"/>
  <c r="AC47" i="5"/>
  <c r="AB47" i="5"/>
  <c r="AE46" i="5"/>
  <c r="AD46" i="5"/>
  <c r="AC46" i="5"/>
  <c r="AB46" i="5"/>
  <c r="AE45" i="5"/>
  <c r="AD45" i="5"/>
  <c r="AC45" i="5"/>
  <c r="AB45" i="5"/>
  <c r="AE44" i="5"/>
  <c r="AD44" i="5"/>
  <c r="AC44" i="5"/>
  <c r="AB44" i="5"/>
  <c r="AE43" i="5"/>
  <c r="AD43" i="5"/>
  <c r="AC43" i="5"/>
  <c r="AB43" i="5"/>
  <c r="AE42" i="5"/>
  <c r="AD42" i="5"/>
  <c r="AC42" i="5"/>
  <c r="AB42" i="5"/>
  <c r="AE41" i="5"/>
  <c r="AD41" i="5"/>
  <c r="AC41" i="5"/>
  <c r="AB41" i="5"/>
  <c r="AE40" i="5"/>
  <c r="AD40" i="5"/>
  <c r="AC40" i="5"/>
  <c r="AB40" i="5"/>
  <c r="AE39" i="5"/>
  <c r="AD39" i="5"/>
  <c r="AC39" i="5"/>
  <c r="AB39" i="5"/>
  <c r="AE38" i="5"/>
  <c r="AD38" i="5"/>
  <c r="AC38" i="5"/>
  <c r="AB38" i="5"/>
  <c r="AE37" i="5"/>
  <c r="AD37" i="5"/>
  <c r="AC37" i="5"/>
  <c r="AB37" i="5"/>
  <c r="AE36" i="5"/>
  <c r="AD36" i="5"/>
  <c r="AC36" i="5"/>
  <c r="AB36" i="5"/>
  <c r="AE35" i="5"/>
  <c r="AD35" i="5"/>
  <c r="AC35" i="5"/>
  <c r="AB35" i="5"/>
  <c r="AE34" i="5"/>
  <c r="AD34" i="5"/>
  <c r="AC34" i="5"/>
  <c r="AB34" i="5"/>
  <c r="AE33" i="5"/>
  <c r="AD33" i="5"/>
  <c r="AC33" i="5"/>
  <c r="AB33" i="5"/>
  <c r="AE32" i="5"/>
  <c r="AD32" i="5"/>
  <c r="AC32" i="5"/>
  <c r="AB32" i="5"/>
  <c r="AE31" i="5"/>
  <c r="AD31" i="5"/>
  <c r="AC31" i="5"/>
  <c r="AB31" i="5"/>
  <c r="AE30" i="5"/>
  <c r="AD30" i="5"/>
  <c r="AC30" i="5"/>
  <c r="AB30" i="5"/>
  <c r="AE29" i="5"/>
  <c r="AD29" i="5"/>
  <c r="AC29" i="5"/>
  <c r="AB29" i="5"/>
  <c r="AE28" i="5"/>
  <c r="AD28" i="5"/>
  <c r="AC28" i="5"/>
  <c r="AB28" i="5"/>
  <c r="AE27" i="5"/>
  <c r="AD27" i="5"/>
  <c r="AC27" i="5"/>
  <c r="AB27" i="5"/>
  <c r="AE26" i="5"/>
  <c r="AD26" i="5"/>
  <c r="AC26" i="5"/>
  <c r="AB26" i="5"/>
  <c r="AE25" i="5"/>
  <c r="AD25" i="5"/>
  <c r="AC25" i="5"/>
  <c r="AB25" i="5"/>
  <c r="AE24" i="5"/>
  <c r="AD24" i="5"/>
  <c r="AC24" i="5"/>
  <c r="AB24" i="5"/>
  <c r="AE23" i="5"/>
  <c r="AD23" i="5"/>
  <c r="AC23" i="5"/>
  <c r="AB23" i="5"/>
  <c r="AE22" i="5"/>
  <c r="AD22" i="5"/>
  <c r="AC22" i="5"/>
  <c r="AB22" i="5"/>
  <c r="AE21" i="5"/>
  <c r="AD21" i="5"/>
  <c r="AC21" i="5"/>
  <c r="AB21" i="5"/>
  <c r="AE20" i="5"/>
  <c r="AD20" i="5"/>
  <c r="AC20" i="5"/>
  <c r="AB20" i="5"/>
  <c r="AE19" i="5"/>
  <c r="AD19" i="5"/>
  <c r="AC19" i="5"/>
  <c r="AB19" i="5"/>
  <c r="AE18" i="5"/>
  <c r="AD18" i="5"/>
  <c r="AC18" i="5"/>
  <c r="AB18" i="5"/>
  <c r="AE17" i="5"/>
  <c r="AD17" i="5"/>
  <c r="AC17" i="5"/>
  <c r="AB17" i="5"/>
  <c r="AE16" i="5"/>
  <c r="AD16" i="5"/>
  <c r="AC16" i="5"/>
  <c r="AB16" i="5"/>
  <c r="AE15" i="5"/>
  <c r="AD15" i="5"/>
  <c r="AC15" i="5"/>
  <c r="AB15" i="5"/>
  <c r="AE14" i="5"/>
  <c r="AD14" i="5"/>
  <c r="AC14" i="5"/>
  <c r="AB14" i="5"/>
  <c r="AE13" i="5"/>
  <c r="AD13" i="5"/>
  <c r="AC13" i="5"/>
  <c r="AB13" i="5"/>
  <c r="AE12" i="5"/>
  <c r="AD12" i="5"/>
  <c r="AC12" i="5"/>
  <c r="AB12" i="5"/>
  <c r="AE11" i="5"/>
  <c r="AD11" i="5"/>
  <c r="AC11" i="5"/>
  <c r="AB11" i="5"/>
  <c r="AE10" i="5"/>
  <c r="AD10" i="5"/>
  <c r="AC10" i="5"/>
  <c r="AB10" i="5"/>
  <c r="AE9" i="5"/>
  <c r="AD9" i="5"/>
  <c r="AC9" i="5"/>
  <c r="AB9" i="5"/>
  <c r="AJ8" i="5"/>
  <c r="AI8" i="5"/>
  <c r="AE8" i="5"/>
  <c r="AD8" i="5"/>
  <c r="AC8" i="5"/>
  <c r="AB8" i="5"/>
  <c r="P56" i="4"/>
  <c r="AG9" i="4"/>
  <c r="AH9" i="4"/>
  <c r="AI9" i="4"/>
  <c r="AJ9" i="4"/>
  <c r="AG10" i="4"/>
  <c r="AH10" i="4"/>
  <c r="AI10" i="4"/>
  <c r="AJ10" i="4"/>
  <c r="AG11" i="4"/>
  <c r="AH11" i="4"/>
  <c r="AI11" i="4"/>
  <c r="AJ11" i="4"/>
  <c r="AG12" i="4"/>
  <c r="AH12" i="4"/>
  <c r="AI12" i="4"/>
  <c r="AJ12" i="4"/>
  <c r="AG13" i="4"/>
  <c r="AH13" i="4"/>
  <c r="AI13" i="4"/>
  <c r="AJ13" i="4"/>
  <c r="AG14" i="4"/>
  <c r="AH14" i="4"/>
  <c r="AI14" i="4"/>
  <c r="AJ14" i="4"/>
  <c r="AG15" i="4"/>
  <c r="AH15" i="4"/>
  <c r="AI15" i="4"/>
  <c r="AJ15" i="4"/>
  <c r="AG16" i="4"/>
  <c r="AH16" i="4"/>
  <c r="AI16" i="4"/>
  <c r="AJ16" i="4"/>
  <c r="AG17" i="4"/>
  <c r="AH17" i="4"/>
  <c r="AI17" i="4"/>
  <c r="AJ17" i="4"/>
  <c r="AG18" i="4"/>
  <c r="AH18" i="4"/>
  <c r="AI18" i="4"/>
  <c r="AJ18" i="4"/>
  <c r="AG19" i="4"/>
  <c r="AH19" i="4"/>
  <c r="AI19" i="4"/>
  <c r="AJ19" i="4"/>
  <c r="AG20" i="4"/>
  <c r="AH20" i="4"/>
  <c r="AI20" i="4"/>
  <c r="AJ20" i="4"/>
  <c r="AG21" i="4"/>
  <c r="AH21" i="4"/>
  <c r="AI21" i="4"/>
  <c r="AJ21" i="4"/>
  <c r="AG22" i="4"/>
  <c r="AH22" i="4"/>
  <c r="AI22" i="4"/>
  <c r="AJ22" i="4"/>
  <c r="AG23" i="4"/>
  <c r="AH23" i="4"/>
  <c r="AI23" i="4"/>
  <c r="AJ23" i="4"/>
  <c r="AG24" i="4"/>
  <c r="AH24" i="4"/>
  <c r="AI24" i="4"/>
  <c r="AJ24" i="4"/>
  <c r="AG25" i="4"/>
  <c r="AH25" i="4"/>
  <c r="AI25" i="4"/>
  <c r="AJ25" i="4"/>
  <c r="AG26" i="4"/>
  <c r="AH26" i="4"/>
  <c r="AI26" i="4"/>
  <c r="AJ26" i="4"/>
  <c r="AG27" i="4"/>
  <c r="AH27" i="4"/>
  <c r="AI27" i="4"/>
  <c r="AJ27" i="4"/>
  <c r="AG28" i="4"/>
  <c r="AH28" i="4"/>
  <c r="AI28" i="4"/>
  <c r="AJ28" i="4"/>
  <c r="AG29" i="4"/>
  <c r="AH29" i="4"/>
  <c r="AI29" i="4"/>
  <c r="AJ29" i="4"/>
  <c r="AG30" i="4"/>
  <c r="AH30" i="4"/>
  <c r="AI30" i="4"/>
  <c r="AJ30" i="4"/>
  <c r="AG31" i="4"/>
  <c r="AH31" i="4"/>
  <c r="AI31" i="4"/>
  <c r="AJ31" i="4"/>
  <c r="AG32" i="4"/>
  <c r="AH32" i="4"/>
  <c r="AI32" i="4"/>
  <c r="AJ32" i="4"/>
  <c r="AG33" i="4"/>
  <c r="AH33" i="4"/>
  <c r="AI33" i="4"/>
  <c r="AJ33" i="4"/>
  <c r="AG34" i="4"/>
  <c r="AH34" i="4"/>
  <c r="AI34" i="4"/>
  <c r="AJ34" i="4"/>
  <c r="AG35" i="4"/>
  <c r="AH35" i="4"/>
  <c r="AI35" i="4"/>
  <c r="AJ35" i="4"/>
  <c r="AG36" i="4"/>
  <c r="AH36" i="4"/>
  <c r="AI36" i="4"/>
  <c r="AJ36" i="4"/>
  <c r="AG37" i="4"/>
  <c r="AH37" i="4"/>
  <c r="AI37" i="4"/>
  <c r="AJ37" i="4"/>
  <c r="AG38" i="4"/>
  <c r="AH38" i="4"/>
  <c r="AI38" i="4"/>
  <c r="AJ38" i="4"/>
  <c r="AG39" i="4"/>
  <c r="AH39" i="4"/>
  <c r="AI39" i="4"/>
  <c r="AJ39" i="4"/>
  <c r="AG40" i="4"/>
  <c r="AH40" i="4"/>
  <c r="AI40" i="4"/>
  <c r="AJ40" i="4"/>
  <c r="AG41" i="4"/>
  <c r="AH41" i="4"/>
  <c r="AI41" i="4"/>
  <c r="AJ41" i="4"/>
  <c r="AG42" i="4"/>
  <c r="AH42" i="4"/>
  <c r="AI42" i="4"/>
  <c r="AJ42" i="4"/>
  <c r="AG43" i="4"/>
  <c r="AH43" i="4"/>
  <c r="AI43" i="4"/>
  <c r="AJ43" i="4"/>
  <c r="AG44" i="4"/>
  <c r="AH44" i="4"/>
  <c r="AI44" i="4"/>
  <c r="AJ44" i="4"/>
  <c r="AG45" i="4"/>
  <c r="AH45" i="4"/>
  <c r="AI45" i="4"/>
  <c r="AJ45" i="4"/>
  <c r="AG46" i="4"/>
  <c r="AH46" i="4"/>
  <c r="AI46" i="4"/>
  <c r="AJ46" i="4"/>
  <c r="AG47" i="4"/>
  <c r="AH47" i="4"/>
  <c r="AI47" i="4"/>
  <c r="AJ47" i="4"/>
  <c r="AH8" i="4"/>
  <c r="AG8" i="4"/>
  <c r="AA56" i="4"/>
  <c r="Z56" i="4"/>
  <c r="Y56" i="4"/>
  <c r="X56" i="4"/>
  <c r="W56" i="4"/>
  <c r="V56" i="4"/>
  <c r="U56" i="4"/>
  <c r="T56" i="4"/>
  <c r="S56" i="4"/>
  <c r="R56" i="4"/>
  <c r="Q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C52" i="4"/>
  <c r="C51" i="4"/>
  <c r="C50" i="4"/>
  <c r="C49" i="4"/>
  <c r="AE47" i="4"/>
  <c r="AD47" i="4"/>
  <c r="AC47" i="4"/>
  <c r="AB47" i="4"/>
  <c r="AE46" i="4"/>
  <c r="AD46" i="4"/>
  <c r="AC46" i="4"/>
  <c r="AB46" i="4"/>
  <c r="AE45" i="4"/>
  <c r="AD45" i="4"/>
  <c r="AC45" i="4"/>
  <c r="AB45" i="4"/>
  <c r="AE44" i="4"/>
  <c r="AD44" i="4"/>
  <c r="AC44" i="4"/>
  <c r="AB44" i="4"/>
  <c r="AE43" i="4"/>
  <c r="AD43" i="4"/>
  <c r="AC43" i="4"/>
  <c r="AB43" i="4"/>
  <c r="AE42" i="4"/>
  <c r="AD42" i="4"/>
  <c r="AC42" i="4"/>
  <c r="AB42" i="4"/>
  <c r="AE41" i="4"/>
  <c r="AD41" i="4"/>
  <c r="AC41" i="4"/>
  <c r="AB41" i="4"/>
  <c r="AE40" i="4"/>
  <c r="AD40" i="4"/>
  <c r="AC40" i="4"/>
  <c r="AB40" i="4"/>
  <c r="AE39" i="4"/>
  <c r="AD39" i="4"/>
  <c r="AC39" i="4"/>
  <c r="AB39" i="4"/>
  <c r="AE38" i="4"/>
  <c r="AD38" i="4"/>
  <c r="AC38" i="4"/>
  <c r="AB38" i="4"/>
  <c r="AE37" i="4"/>
  <c r="AD37" i="4"/>
  <c r="AC37" i="4"/>
  <c r="AB37" i="4"/>
  <c r="AE36" i="4"/>
  <c r="AD36" i="4"/>
  <c r="AC36" i="4"/>
  <c r="AB36" i="4"/>
  <c r="AE35" i="4"/>
  <c r="AD35" i="4"/>
  <c r="AC35" i="4"/>
  <c r="AB35" i="4"/>
  <c r="AE34" i="4"/>
  <c r="AD34" i="4"/>
  <c r="AC34" i="4"/>
  <c r="AB34" i="4"/>
  <c r="AE33" i="4"/>
  <c r="AD33" i="4"/>
  <c r="AC33" i="4"/>
  <c r="AB33" i="4"/>
  <c r="AE32" i="4"/>
  <c r="AD32" i="4"/>
  <c r="AC32" i="4"/>
  <c r="AB32" i="4"/>
  <c r="AE31" i="4"/>
  <c r="AD31" i="4"/>
  <c r="AC31" i="4"/>
  <c r="AB31" i="4"/>
  <c r="AE30" i="4"/>
  <c r="AD30" i="4"/>
  <c r="AC30" i="4"/>
  <c r="AB30" i="4"/>
  <c r="AE29" i="4"/>
  <c r="AD29" i="4"/>
  <c r="AC29" i="4"/>
  <c r="AB29" i="4"/>
  <c r="AE28" i="4"/>
  <c r="AD28" i="4"/>
  <c r="AC28" i="4"/>
  <c r="AB28" i="4"/>
  <c r="AE27" i="4"/>
  <c r="AD27" i="4"/>
  <c r="AC27" i="4"/>
  <c r="AB27" i="4"/>
  <c r="AE26" i="4"/>
  <c r="AD26" i="4"/>
  <c r="AC26" i="4"/>
  <c r="AB26" i="4"/>
  <c r="AE25" i="4"/>
  <c r="AD25" i="4"/>
  <c r="AC25" i="4"/>
  <c r="AB25" i="4"/>
  <c r="AE24" i="4"/>
  <c r="AD24" i="4"/>
  <c r="AC24" i="4"/>
  <c r="AB24" i="4"/>
  <c r="AE23" i="4"/>
  <c r="AD23" i="4"/>
  <c r="AC23" i="4"/>
  <c r="AB23" i="4"/>
  <c r="AE22" i="4"/>
  <c r="AD22" i="4"/>
  <c r="AC22" i="4"/>
  <c r="AB22" i="4"/>
  <c r="AE21" i="4"/>
  <c r="AD21" i="4"/>
  <c r="AC21" i="4"/>
  <c r="AB21" i="4"/>
  <c r="AE20" i="4"/>
  <c r="AD20" i="4"/>
  <c r="AC20" i="4"/>
  <c r="AB20" i="4"/>
  <c r="AE19" i="4"/>
  <c r="AD19" i="4"/>
  <c r="AC19" i="4"/>
  <c r="AB19" i="4"/>
  <c r="AE18" i="4"/>
  <c r="AD18" i="4"/>
  <c r="AC18" i="4"/>
  <c r="AB18" i="4"/>
  <c r="AE17" i="4"/>
  <c r="AD17" i="4"/>
  <c r="AC17" i="4"/>
  <c r="AB17" i="4"/>
  <c r="AE16" i="4"/>
  <c r="AD16" i="4"/>
  <c r="AC16" i="4"/>
  <c r="AB16" i="4"/>
  <c r="AE15" i="4"/>
  <c r="AD15" i="4"/>
  <c r="AC15" i="4"/>
  <c r="AB15" i="4"/>
  <c r="AE14" i="4"/>
  <c r="AD14" i="4"/>
  <c r="AC14" i="4"/>
  <c r="AB14" i="4"/>
  <c r="AE13" i="4"/>
  <c r="AD13" i="4"/>
  <c r="AC13" i="4"/>
  <c r="AB13" i="4"/>
  <c r="AE12" i="4"/>
  <c r="AD12" i="4"/>
  <c r="AC12" i="4"/>
  <c r="AB12" i="4"/>
  <c r="AE11" i="4"/>
  <c r="AD11" i="4"/>
  <c r="AC11" i="4"/>
  <c r="AB11" i="4"/>
  <c r="AE10" i="4"/>
  <c r="AD10" i="4"/>
  <c r="AC10" i="4"/>
  <c r="AB10" i="4"/>
  <c r="AE9" i="4"/>
  <c r="AD9" i="4"/>
  <c r="AC9" i="4"/>
  <c r="AB9" i="4"/>
  <c r="AJ8" i="4"/>
  <c r="AI8" i="4"/>
  <c r="AE8" i="4"/>
  <c r="AD8" i="4"/>
  <c r="AC8" i="4"/>
  <c r="AB8" i="4"/>
  <c r="V56" i="3"/>
  <c r="AG9" i="3"/>
  <c r="AH9" i="3"/>
  <c r="AI9" i="3"/>
  <c r="AJ9" i="3"/>
  <c r="AG10" i="3"/>
  <c r="AH10" i="3"/>
  <c r="AI10" i="3"/>
  <c r="AJ10" i="3"/>
  <c r="AG11" i="3"/>
  <c r="AH11" i="3"/>
  <c r="AI11" i="3"/>
  <c r="AJ11" i="3"/>
  <c r="AG12" i="3"/>
  <c r="AH12" i="3"/>
  <c r="AI12" i="3"/>
  <c r="AJ12" i="3"/>
  <c r="AG13" i="3"/>
  <c r="AH13" i="3"/>
  <c r="AI13" i="3"/>
  <c r="AJ13" i="3"/>
  <c r="AG14" i="3"/>
  <c r="AH14" i="3"/>
  <c r="AI14" i="3"/>
  <c r="AJ14" i="3"/>
  <c r="AG15" i="3"/>
  <c r="AH15" i="3"/>
  <c r="AI15" i="3"/>
  <c r="AJ15" i="3"/>
  <c r="AG16" i="3"/>
  <c r="AH16" i="3"/>
  <c r="AI16" i="3"/>
  <c r="AJ16" i="3"/>
  <c r="AG17" i="3"/>
  <c r="AH17" i="3"/>
  <c r="AI17" i="3"/>
  <c r="AJ17" i="3"/>
  <c r="AG18" i="3"/>
  <c r="AH18" i="3"/>
  <c r="AI18" i="3"/>
  <c r="AJ18" i="3"/>
  <c r="AG19" i="3"/>
  <c r="AH19" i="3"/>
  <c r="AI19" i="3"/>
  <c r="AJ19" i="3"/>
  <c r="AG20" i="3"/>
  <c r="AH20" i="3"/>
  <c r="AI20" i="3"/>
  <c r="AJ20" i="3"/>
  <c r="AG21" i="3"/>
  <c r="AH21" i="3"/>
  <c r="AI21" i="3"/>
  <c r="AJ21" i="3"/>
  <c r="AG22" i="3"/>
  <c r="AH22" i="3"/>
  <c r="AI22" i="3"/>
  <c r="AJ22" i="3"/>
  <c r="AG23" i="3"/>
  <c r="AH23" i="3"/>
  <c r="AI23" i="3"/>
  <c r="AJ23" i="3"/>
  <c r="AG24" i="3"/>
  <c r="AH24" i="3"/>
  <c r="AI24" i="3"/>
  <c r="AJ24" i="3"/>
  <c r="AG25" i="3"/>
  <c r="AH25" i="3"/>
  <c r="AI25" i="3"/>
  <c r="AJ25" i="3"/>
  <c r="AG26" i="3"/>
  <c r="AH26" i="3"/>
  <c r="AI26" i="3"/>
  <c r="AJ26" i="3"/>
  <c r="AG27" i="3"/>
  <c r="AH27" i="3"/>
  <c r="AI27" i="3"/>
  <c r="AJ27" i="3"/>
  <c r="AG28" i="3"/>
  <c r="AH28" i="3"/>
  <c r="AI28" i="3"/>
  <c r="AJ28" i="3"/>
  <c r="AG29" i="3"/>
  <c r="AH29" i="3"/>
  <c r="AI29" i="3"/>
  <c r="AJ29" i="3"/>
  <c r="AG30" i="3"/>
  <c r="AH30" i="3"/>
  <c r="AI30" i="3"/>
  <c r="AJ30" i="3"/>
  <c r="AG31" i="3"/>
  <c r="AH31" i="3"/>
  <c r="AI31" i="3"/>
  <c r="AJ31" i="3"/>
  <c r="AG32" i="3"/>
  <c r="AH32" i="3"/>
  <c r="AI32" i="3"/>
  <c r="AJ32" i="3"/>
  <c r="AG33" i="3"/>
  <c r="AH33" i="3"/>
  <c r="AI33" i="3"/>
  <c r="AJ33" i="3"/>
  <c r="AG34" i="3"/>
  <c r="AH34" i="3"/>
  <c r="AI34" i="3"/>
  <c r="AJ34" i="3"/>
  <c r="AG35" i="3"/>
  <c r="AH35" i="3"/>
  <c r="AI35" i="3"/>
  <c r="AJ35" i="3"/>
  <c r="AG36" i="3"/>
  <c r="AH36" i="3"/>
  <c r="AI36" i="3"/>
  <c r="AJ36" i="3"/>
  <c r="AG37" i="3"/>
  <c r="AH37" i="3"/>
  <c r="AI37" i="3"/>
  <c r="AJ37" i="3"/>
  <c r="AG38" i="3"/>
  <c r="AH38" i="3"/>
  <c r="AI38" i="3"/>
  <c r="AJ38" i="3"/>
  <c r="AG39" i="3"/>
  <c r="AH39" i="3"/>
  <c r="AI39" i="3"/>
  <c r="AJ39" i="3"/>
  <c r="AG40" i="3"/>
  <c r="AH40" i="3"/>
  <c r="AI40" i="3"/>
  <c r="AJ40" i="3"/>
  <c r="AG41" i="3"/>
  <c r="AH41" i="3"/>
  <c r="AI41" i="3"/>
  <c r="AJ41" i="3"/>
  <c r="AG42" i="3"/>
  <c r="AH42" i="3"/>
  <c r="AI42" i="3"/>
  <c r="AJ42" i="3"/>
  <c r="AG43" i="3"/>
  <c r="AH43" i="3"/>
  <c r="AI43" i="3"/>
  <c r="AJ43" i="3"/>
  <c r="AG44" i="3"/>
  <c r="AH44" i="3"/>
  <c r="AI44" i="3"/>
  <c r="AJ44" i="3"/>
  <c r="AG45" i="3"/>
  <c r="AH45" i="3"/>
  <c r="AI45" i="3"/>
  <c r="AJ45" i="3"/>
  <c r="AG46" i="3"/>
  <c r="AH46" i="3"/>
  <c r="AI46" i="3"/>
  <c r="AJ46" i="3"/>
  <c r="AG47" i="3"/>
  <c r="AH47" i="3"/>
  <c r="AI47" i="3"/>
  <c r="AJ47" i="3"/>
  <c r="AH8" i="3"/>
  <c r="AG8" i="3"/>
  <c r="AA56" i="3"/>
  <c r="Z56" i="3"/>
  <c r="Y56" i="3"/>
  <c r="X56" i="3"/>
  <c r="W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C52" i="3"/>
  <c r="C51" i="3"/>
  <c r="C50" i="3"/>
  <c r="C49" i="3"/>
  <c r="AE47" i="3"/>
  <c r="AD47" i="3"/>
  <c r="AC47" i="3"/>
  <c r="AB47" i="3"/>
  <c r="AE46" i="3"/>
  <c r="AD46" i="3"/>
  <c r="AC46" i="3"/>
  <c r="AB46" i="3"/>
  <c r="AE45" i="3"/>
  <c r="AD45" i="3"/>
  <c r="AC45" i="3"/>
  <c r="AB45" i="3"/>
  <c r="AE44" i="3"/>
  <c r="AD44" i="3"/>
  <c r="AC44" i="3"/>
  <c r="AB44" i="3"/>
  <c r="AE43" i="3"/>
  <c r="AD43" i="3"/>
  <c r="AC43" i="3"/>
  <c r="AB43" i="3"/>
  <c r="AE42" i="3"/>
  <c r="AD42" i="3"/>
  <c r="AC42" i="3"/>
  <c r="AB42" i="3"/>
  <c r="AE41" i="3"/>
  <c r="AD41" i="3"/>
  <c r="AC41" i="3"/>
  <c r="AB41" i="3"/>
  <c r="AE40" i="3"/>
  <c r="AD40" i="3"/>
  <c r="AC40" i="3"/>
  <c r="AB40" i="3"/>
  <c r="AE39" i="3"/>
  <c r="AD39" i="3"/>
  <c r="AC39" i="3"/>
  <c r="AB39" i="3"/>
  <c r="AE38" i="3"/>
  <c r="AD38" i="3"/>
  <c r="AC38" i="3"/>
  <c r="AB38" i="3"/>
  <c r="AE37" i="3"/>
  <c r="AD37" i="3"/>
  <c r="AC37" i="3"/>
  <c r="AB37" i="3"/>
  <c r="AE36" i="3"/>
  <c r="AD36" i="3"/>
  <c r="AC36" i="3"/>
  <c r="AB36" i="3"/>
  <c r="AE35" i="3"/>
  <c r="AD35" i="3"/>
  <c r="AC35" i="3"/>
  <c r="AB35" i="3"/>
  <c r="AE34" i="3"/>
  <c r="AD34" i="3"/>
  <c r="AC34" i="3"/>
  <c r="AB34" i="3"/>
  <c r="AE33" i="3"/>
  <c r="AD33" i="3"/>
  <c r="AC33" i="3"/>
  <c r="AB33" i="3"/>
  <c r="AE32" i="3"/>
  <c r="AD32" i="3"/>
  <c r="AC32" i="3"/>
  <c r="AB32" i="3"/>
  <c r="AE31" i="3"/>
  <c r="AD31" i="3"/>
  <c r="AC31" i="3"/>
  <c r="AB31" i="3"/>
  <c r="AE30" i="3"/>
  <c r="AD30" i="3"/>
  <c r="AC30" i="3"/>
  <c r="AB30" i="3"/>
  <c r="AE29" i="3"/>
  <c r="AD29" i="3"/>
  <c r="AC29" i="3"/>
  <c r="AB29" i="3"/>
  <c r="AE28" i="3"/>
  <c r="AD28" i="3"/>
  <c r="AC28" i="3"/>
  <c r="AB28" i="3"/>
  <c r="AE27" i="3"/>
  <c r="AD27" i="3"/>
  <c r="AC27" i="3"/>
  <c r="AB27" i="3"/>
  <c r="AE26" i="3"/>
  <c r="AD26" i="3"/>
  <c r="AC26" i="3"/>
  <c r="AB26" i="3"/>
  <c r="AE25" i="3"/>
  <c r="AD25" i="3"/>
  <c r="AC25" i="3"/>
  <c r="AB25" i="3"/>
  <c r="AE24" i="3"/>
  <c r="AD24" i="3"/>
  <c r="AC24" i="3"/>
  <c r="AB24" i="3"/>
  <c r="AE23" i="3"/>
  <c r="AD23" i="3"/>
  <c r="AC23" i="3"/>
  <c r="AB23" i="3"/>
  <c r="AE22" i="3"/>
  <c r="AD22" i="3"/>
  <c r="AC22" i="3"/>
  <c r="AB22" i="3"/>
  <c r="AE21" i="3"/>
  <c r="AD21" i="3"/>
  <c r="AC21" i="3"/>
  <c r="AB21" i="3"/>
  <c r="AE20" i="3"/>
  <c r="AD20" i="3"/>
  <c r="AC20" i="3"/>
  <c r="AB20" i="3"/>
  <c r="AE19" i="3"/>
  <c r="AD19" i="3"/>
  <c r="AC19" i="3"/>
  <c r="AB19" i="3"/>
  <c r="AE18" i="3"/>
  <c r="AD18" i="3"/>
  <c r="AC18" i="3"/>
  <c r="AB18" i="3"/>
  <c r="AE17" i="3"/>
  <c r="AD17" i="3"/>
  <c r="AC17" i="3"/>
  <c r="AB17" i="3"/>
  <c r="AE16" i="3"/>
  <c r="AD16" i="3"/>
  <c r="AC16" i="3"/>
  <c r="AB16" i="3"/>
  <c r="AE15" i="3"/>
  <c r="AD15" i="3"/>
  <c r="AC15" i="3"/>
  <c r="AB15" i="3"/>
  <c r="AE14" i="3"/>
  <c r="AD14" i="3"/>
  <c r="AC14" i="3"/>
  <c r="AB14" i="3"/>
  <c r="AE13" i="3"/>
  <c r="AD13" i="3"/>
  <c r="AC13" i="3"/>
  <c r="AB13" i="3"/>
  <c r="AE12" i="3"/>
  <c r="AD12" i="3"/>
  <c r="AC12" i="3"/>
  <c r="AB12" i="3"/>
  <c r="AE11" i="3"/>
  <c r="AD11" i="3"/>
  <c r="AC11" i="3"/>
  <c r="AB11" i="3"/>
  <c r="AE10" i="3"/>
  <c r="AD10" i="3"/>
  <c r="AC10" i="3"/>
  <c r="AB10" i="3"/>
  <c r="AE9" i="3"/>
  <c r="AD9" i="3"/>
  <c r="AC9" i="3"/>
  <c r="AB9" i="3"/>
  <c r="AJ8" i="3"/>
  <c r="AI8" i="3"/>
  <c r="AE8" i="3"/>
  <c r="AD8" i="3"/>
  <c r="AC8" i="3"/>
  <c r="AB8" i="3"/>
  <c r="Y9" i="2"/>
  <c r="Z9" i="2"/>
  <c r="AA9" i="2"/>
  <c r="Y10" i="2"/>
  <c r="Z10" i="2"/>
  <c r="AA10" i="2"/>
  <c r="Y11" i="2"/>
  <c r="Z11" i="2"/>
  <c r="AA11" i="2"/>
  <c r="Z12" i="2"/>
  <c r="AA12" i="2"/>
  <c r="Y13" i="2"/>
  <c r="Z13" i="2"/>
  <c r="AA13" i="2"/>
  <c r="Y14" i="2"/>
  <c r="Z14" i="2"/>
  <c r="AA14" i="2"/>
  <c r="Y15" i="2"/>
  <c r="Z15" i="2"/>
  <c r="AA15" i="2"/>
  <c r="Y16" i="2"/>
  <c r="Z16" i="2"/>
  <c r="AA16" i="2"/>
  <c r="Y17" i="2"/>
  <c r="Z17" i="2"/>
  <c r="AA17" i="2"/>
  <c r="Y18" i="2"/>
  <c r="Z18" i="2"/>
  <c r="AA18" i="2"/>
  <c r="Y19" i="2"/>
  <c r="Z19" i="2"/>
  <c r="AA19" i="2"/>
  <c r="Y20" i="2"/>
  <c r="Z20" i="2"/>
  <c r="AA20" i="2"/>
  <c r="Y21" i="2"/>
  <c r="Z21" i="2"/>
  <c r="AA21" i="2"/>
  <c r="Y22" i="2"/>
  <c r="Z22" i="2"/>
  <c r="AA22" i="2"/>
  <c r="Y23" i="2"/>
  <c r="Z23" i="2"/>
  <c r="AA23" i="2"/>
  <c r="Y24" i="2"/>
  <c r="Z24" i="2"/>
  <c r="AA24" i="2"/>
  <c r="Y25" i="2"/>
  <c r="Z25" i="2"/>
  <c r="AA25" i="2"/>
  <c r="Y26" i="2"/>
  <c r="Z26" i="2"/>
  <c r="AA26" i="2"/>
  <c r="Y27" i="2"/>
  <c r="Z27" i="2"/>
  <c r="AA27" i="2"/>
  <c r="Y28" i="2"/>
  <c r="Z28" i="2"/>
  <c r="AA28" i="2"/>
  <c r="Y29" i="2"/>
  <c r="Z29" i="2"/>
  <c r="AA29" i="2"/>
  <c r="Y30" i="2"/>
  <c r="Z30" i="2"/>
  <c r="AA30" i="2"/>
  <c r="Y31" i="2"/>
  <c r="Z31" i="2"/>
  <c r="AA31" i="2"/>
  <c r="Y32" i="2"/>
  <c r="Z32" i="2"/>
  <c r="AA32" i="2"/>
  <c r="Y33" i="2"/>
  <c r="Z33" i="2"/>
  <c r="AA33" i="2"/>
  <c r="Y34" i="2"/>
  <c r="Z34" i="2"/>
  <c r="AA34" i="2"/>
  <c r="Y35" i="2"/>
  <c r="Z35" i="2"/>
  <c r="AA35" i="2"/>
  <c r="Y36" i="2"/>
  <c r="Z36" i="2"/>
  <c r="AA36" i="2"/>
  <c r="Y37" i="2"/>
  <c r="Z37" i="2"/>
  <c r="AA37" i="2"/>
  <c r="Y38" i="2"/>
  <c r="Z38" i="2"/>
  <c r="AA38" i="2"/>
  <c r="Y39" i="2"/>
  <c r="Z39" i="2"/>
  <c r="AA39" i="2"/>
  <c r="Y40" i="2"/>
  <c r="Z40" i="2"/>
  <c r="AA40" i="2"/>
  <c r="Y41" i="2"/>
  <c r="Z41" i="2"/>
  <c r="AA41" i="2"/>
  <c r="Y42" i="2"/>
  <c r="Z42" i="2"/>
  <c r="AA42" i="2"/>
  <c r="Y43" i="2"/>
  <c r="Z43" i="2"/>
  <c r="AA43" i="2"/>
  <c r="Y44" i="2"/>
  <c r="Z44" i="2"/>
  <c r="AA44" i="2"/>
  <c r="Y45" i="2"/>
  <c r="Z45" i="2"/>
  <c r="AA45" i="2"/>
  <c r="Y46" i="2"/>
  <c r="Z46" i="2"/>
  <c r="AA46" i="2"/>
  <c r="Y47" i="2"/>
  <c r="Z47" i="2"/>
  <c r="AA47" i="2"/>
  <c r="Z8" i="2"/>
  <c r="Y8" i="2"/>
  <c r="AA8" i="2"/>
  <c r="C52" i="2"/>
  <c r="C51" i="2"/>
  <c r="C50" i="2"/>
  <c r="C49" i="2"/>
  <c r="X47" i="2"/>
  <c r="W47" i="2"/>
  <c r="V47" i="2"/>
  <c r="U47" i="2"/>
  <c r="X46" i="2"/>
  <c r="W46" i="2"/>
  <c r="V46" i="2"/>
  <c r="U46" i="2"/>
  <c r="X45" i="2"/>
  <c r="W45" i="2"/>
  <c r="V45" i="2"/>
  <c r="U45" i="2"/>
  <c r="X44" i="2"/>
  <c r="W44" i="2"/>
  <c r="V44" i="2"/>
  <c r="U44" i="2"/>
  <c r="X43" i="2"/>
  <c r="W43" i="2"/>
  <c r="V43" i="2"/>
  <c r="U43" i="2"/>
  <c r="X42" i="2"/>
  <c r="W42" i="2"/>
  <c r="V42" i="2"/>
  <c r="U42" i="2"/>
  <c r="X41" i="2"/>
  <c r="W41" i="2"/>
  <c r="V41" i="2"/>
  <c r="U41" i="2"/>
  <c r="X40" i="2"/>
  <c r="W40" i="2"/>
  <c r="V40" i="2"/>
  <c r="U40" i="2"/>
  <c r="X39" i="2"/>
  <c r="W39" i="2"/>
  <c r="V39" i="2"/>
  <c r="U39" i="2"/>
  <c r="X38" i="2"/>
  <c r="W38" i="2"/>
  <c r="V38" i="2"/>
  <c r="U38" i="2"/>
  <c r="X37" i="2"/>
  <c r="W37" i="2"/>
  <c r="V37" i="2"/>
  <c r="U37" i="2"/>
  <c r="X36" i="2"/>
  <c r="W36" i="2"/>
  <c r="V36" i="2"/>
  <c r="U36" i="2"/>
  <c r="X35" i="2"/>
  <c r="W35" i="2"/>
  <c r="V35" i="2"/>
  <c r="U35" i="2"/>
  <c r="X34" i="2"/>
  <c r="W34" i="2"/>
  <c r="V34" i="2"/>
  <c r="U34" i="2"/>
  <c r="X33" i="2"/>
  <c r="W33" i="2"/>
  <c r="V33" i="2"/>
  <c r="U33" i="2"/>
  <c r="X32" i="2"/>
  <c r="W32" i="2"/>
  <c r="V32" i="2"/>
  <c r="U32" i="2"/>
  <c r="X31" i="2"/>
  <c r="W31" i="2"/>
  <c r="V31" i="2"/>
  <c r="U31" i="2"/>
  <c r="X30" i="2"/>
  <c r="W30" i="2"/>
  <c r="V30" i="2"/>
  <c r="U30" i="2"/>
  <c r="X29" i="2"/>
  <c r="W29" i="2"/>
  <c r="V29" i="2"/>
  <c r="U29" i="2"/>
  <c r="X28" i="2"/>
  <c r="W28" i="2"/>
  <c r="V28" i="2"/>
  <c r="U28" i="2"/>
  <c r="X27" i="2"/>
  <c r="W27" i="2"/>
  <c r="V27" i="2"/>
  <c r="U27" i="2"/>
  <c r="X26" i="2"/>
  <c r="W26" i="2"/>
  <c r="V26" i="2"/>
  <c r="U26" i="2"/>
  <c r="X25" i="2"/>
  <c r="W25" i="2"/>
  <c r="V25" i="2"/>
  <c r="U25" i="2"/>
  <c r="X24" i="2"/>
  <c r="W24" i="2"/>
  <c r="V24" i="2"/>
  <c r="U24" i="2"/>
  <c r="X23" i="2"/>
  <c r="W23" i="2"/>
  <c r="V23" i="2"/>
  <c r="U23" i="2"/>
  <c r="X22" i="2"/>
  <c r="W22" i="2"/>
  <c r="V22" i="2"/>
  <c r="U22" i="2"/>
  <c r="X21" i="2"/>
  <c r="W21" i="2"/>
  <c r="V21" i="2"/>
  <c r="U21" i="2"/>
  <c r="X20" i="2"/>
  <c r="W20" i="2"/>
  <c r="V20" i="2"/>
  <c r="U20" i="2"/>
  <c r="X19" i="2"/>
  <c r="W19" i="2"/>
  <c r="V19" i="2"/>
  <c r="U19" i="2"/>
  <c r="X18" i="2"/>
  <c r="W18" i="2"/>
  <c r="V18" i="2"/>
  <c r="U18" i="2"/>
  <c r="X17" i="2"/>
  <c r="W17" i="2"/>
  <c r="V17" i="2"/>
  <c r="U17" i="2"/>
  <c r="X16" i="2"/>
  <c r="W16" i="2"/>
  <c r="V16" i="2"/>
  <c r="U16" i="2"/>
  <c r="X15" i="2"/>
  <c r="W15" i="2"/>
  <c r="V15" i="2"/>
  <c r="U15" i="2"/>
  <c r="X14" i="2"/>
  <c r="W14" i="2"/>
  <c r="V14" i="2"/>
  <c r="U14" i="2"/>
  <c r="X13" i="2"/>
  <c r="W13" i="2"/>
  <c r="V13" i="2"/>
  <c r="U13" i="2"/>
  <c r="X12" i="2"/>
  <c r="W12" i="2"/>
  <c r="V12" i="2"/>
  <c r="X11" i="2"/>
  <c r="W11" i="2"/>
  <c r="V11" i="2"/>
  <c r="U11" i="2"/>
  <c r="X10" i="2"/>
  <c r="W10" i="2"/>
  <c r="V10" i="2"/>
  <c r="U10" i="2"/>
  <c r="X9" i="2"/>
  <c r="W9" i="2"/>
  <c r="V9" i="2"/>
  <c r="U9" i="2"/>
  <c r="X8" i="2"/>
  <c r="W8" i="2"/>
  <c r="V8" i="2"/>
  <c r="C50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5" i="1"/>
  <c r="AC14" i="1"/>
  <c r="AC13" i="1"/>
  <c r="AC12" i="1"/>
  <c r="AC9" i="1"/>
  <c r="AC10" i="1"/>
  <c r="AC11" i="1"/>
  <c r="AC16" i="1"/>
  <c r="AC17" i="1"/>
  <c r="AC44" i="1"/>
  <c r="AC45" i="1"/>
  <c r="AC46" i="1"/>
  <c r="AC47" i="1"/>
  <c r="AC8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G9" i="1"/>
  <c r="AH9" i="1"/>
  <c r="AI9" i="1"/>
  <c r="AJ9" i="1"/>
  <c r="AG10" i="1"/>
  <c r="AH10" i="1"/>
  <c r="AI10" i="1"/>
  <c r="AJ10" i="1"/>
  <c r="AG11" i="1"/>
  <c r="AH11" i="1"/>
  <c r="AI11" i="1"/>
  <c r="AJ11" i="1"/>
  <c r="AG12" i="1"/>
  <c r="AH12" i="1"/>
  <c r="AI12" i="1"/>
  <c r="AJ12" i="1"/>
  <c r="AG13" i="1"/>
  <c r="AH13" i="1"/>
  <c r="AI13" i="1"/>
  <c r="AJ13" i="1"/>
  <c r="AG14" i="1"/>
  <c r="AH14" i="1"/>
  <c r="AI14" i="1"/>
  <c r="AJ14" i="1"/>
  <c r="AG15" i="1"/>
  <c r="AH15" i="1"/>
  <c r="AI15" i="1"/>
  <c r="AJ15" i="1"/>
  <c r="AG16" i="1"/>
  <c r="AH16" i="1"/>
  <c r="AI16" i="1"/>
  <c r="AJ16" i="1"/>
  <c r="AG17" i="1"/>
  <c r="AH17" i="1"/>
  <c r="AI17" i="1"/>
  <c r="AJ17" i="1"/>
  <c r="AG18" i="1"/>
  <c r="AH18" i="1"/>
  <c r="AI18" i="1"/>
  <c r="AJ18" i="1"/>
  <c r="AG19" i="1"/>
  <c r="AH19" i="1"/>
  <c r="AI19" i="1"/>
  <c r="AJ19" i="1"/>
  <c r="AG20" i="1"/>
  <c r="AH20" i="1"/>
  <c r="AI20" i="1"/>
  <c r="AJ20" i="1"/>
  <c r="AG21" i="1"/>
  <c r="AH21" i="1"/>
  <c r="AI21" i="1"/>
  <c r="AJ21" i="1"/>
  <c r="AG22" i="1"/>
  <c r="AH22" i="1"/>
  <c r="AI22" i="1"/>
  <c r="AJ22" i="1"/>
  <c r="AG23" i="1"/>
  <c r="AH23" i="1"/>
  <c r="AI23" i="1"/>
  <c r="AJ23" i="1"/>
  <c r="AG24" i="1"/>
  <c r="AH24" i="1"/>
  <c r="AI24" i="1"/>
  <c r="AJ24" i="1"/>
  <c r="AG25" i="1"/>
  <c r="AH25" i="1"/>
  <c r="AI25" i="1"/>
  <c r="AJ25" i="1"/>
  <c r="AG26" i="1"/>
  <c r="AH26" i="1"/>
  <c r="AI26" i="1"/>
  <c r="AJ26" i="1"/>
  <c r="AG27" i="1"/>
  <c r="AH27" i="1"/>
  <c r="AI27" i="1"/>
  <c r="AJ27" i="1"/>
  <c r="AG28" i="1"/>
  <c r="AH28" i="1"/>
  <c r="AI28" i="1"/>
  <c r="AJ28" i="1"/>
  <c r="AG29" i="1"/>
  <c r="AH29" i="1"/>
  <c r="AI29" i="1"/>
  <c r="AJ29" i="1"/>
  <c r="AG30" i="1"/>
  <c r="AH30" i="1"/>
  <c r="AI30" i="1"/>
  <c r="AJ30" i="1"/>
  <c r="AG31" i="1"/>
  <c r="AH31" i="1"/>
  <c r="AI31" i="1"/>
  <c r="AJ31" i="1"/>
  <c r="AG32" i="1"/>
  <c r="AH32" i="1"/>
  <c r="AI32" i="1"/>
  <c r="AJ32" i="1"/>
  <c r="AG33" i="1"/>
  <c r="AH33" i="1"/>
  <c r="AI33" i="1"/>
  <c r="AJ33" i="1"/>
  <c r="AG34" i="1"/>
  <c r="AH34" i="1"/>
  <c r="AI34" i="1"/>
  <c r="AJ34" i="1"/>
  <c r="AG35" i="1"/>
  <c r="AH35" i="1"/>
  <c r="AI35" i="1"/>
  <c r="AJ35" i="1"/>
  <c r="AG36" i="1"/>
  <c r="AH36" i="1"/>
  <c r="AI36" i="1"/>
  <c r="AJ36" i="1"/>
  <c r="AG37" i="1"/>
  <c r="AH37" i="1"/>
  <c r="AI37" i="1"/>
  <c r="AJ37" i="1"/>
  <c r="AG38" i="1"/>
  <c r="AH38" i="1"/>
  <c r="AI38" i="1"/>
  <c r="AJ38" i="1"/>
  <c r="AG39" i="1"/>
  <c r="AH39" i="1"/>
  <c r="AI39" i="1"/>
  <c r="AJ39" i="1"/>
  <c r="AG40" i="1"/>
  <c r="AH40" i="1"/>
  <c r="AI40" i="1"/>
  <c r="AJ40" i="1"/>
  <c r="AG41" i="1"/>
  <c r="AH41" i="1"/>
  <c r="AI41" i="1"/>
  <c r="AJ41" i="1"/>
  <c r="AG42" i="1"/>
  <c r="AH42" i="1"/>
  <c r="AI42" i="1"/>
  <c r="AJ42" i="1"/>
  <c r="AG43" i="1"/>
  <c r="AH43" i="1"/>
  <c r="AI43" i="1"/>
  <c r="AJ43" i="1"/>
  <c r="AG44" i="1"/>
  <c r="AH44" i="1"/>
  <c r="AI44" i="1"/>
  <c r="AJ44" i="1"/>
  <c r="AG45" i="1"/>
  <c r="AH45" i="1"/>
  <c r="AI45" i="1"/>
  <c r="AJ45" i="1"/>
  <c r="AG46" i="1"/>
  <c r="AH46" i="1"/>
  <c r="AI46" i="1"/>
  <c r="AJ46" i="1"/>
  <c r="AG47" i="1"/>
  <c r="AH47" i="1"/>
  <c r="AI47" i="1"/>
  <c r="AJ47" i="1"/>
  <c r="AJ8" i="1"/>
  <c r="AI8" i="1"/>
  <c r="AI53" i="1" s="1"/>
  <c r="AH8" i="1"/>
  <c r="AG8" i="1"/>
  <c r="U53" i="3" l="1"/>
  <c r="T53" i="3"/>
  <c r="Z53" i="3"/>
  <c r="Y53" i="3"/>
  <c r="Q53" i="3"/>
  <c r="P53" i="3"/>
  <c r="O53" i="3"/>
  <c r="L53" i="3"/>
  <c r="I53" i="3"/>
  <c r="C53" i="3"/>
  <c r="O53" i="6"/>
  <c r="I53" i="6"/>
  <c r="G53" i="6"/>
  <c r="AD53" i="6"/>
  <c r="Y53" i="6"/>
  <c r="T53" i="6"/>
  <c r="N53" i="6"/>
  <c r="D53" i="6"/>
  <c r="N53" i="1"/>
  <c r="U53" i="6"/>
  <c r="E53" i="6"/>
  <c r="K53" i="6"/>
  <c r="AG53" i="4"/>
  <c r="J53" i="6"/>
  <c r="W53" i="5"/>
  <c r="S53" i="1"/>
  <c r="R53" i="1"/>
  <c r="Z53" i="1"/>
  <c r="M57" i="3"/>
  <c r="U53" i="5"/>
  <c r="F53" i="6"/>
  <c r="W53" i="6"/>
  <c r="Y53" i="1"/>
  <c r="AF54" i="3"/>
  <c r="C57" i="5"/>
  <c r="C53" i="4"/>
  <c r="AI54" i="5"/>
  <c r="AA53" i="3"/>
  <c r="R53" i="6"/>
  <c r="M53" i="6"/>
  <c r="X53" i="6"/>
  <c r="H53" i="6"/>
  <c r="AI55" i="1"/>
  <c r="M53" i="1"/>
  <c r="U53" i="1"/>
  <c r="M57" i="4"/>
  <c r="C53" i="6"/>
  <c r="T53" i="1"/>
  <c r="X53" i="3"/>
  <c r="W53" i="3"/>
  <c r="AI54" i="3"/>
  <c r="Q53" i="1"/>
  <c r="S53" i="6"/>
  <c r="N57" i="6"/>
  <c r="P53" i="1"/>
  <c r="Z53" i="4"/>
  <c r="AA53" i="5"/>
  <c r="O53" i="1"/>
  <c r="Y53" i="4"/>
  <c r="R53" i="5"/>
  <c r="C57" i="6"/>
  <c r="AA53" i="6"/>
  <c r="AC53" i="6"/>
  <c r="AA57" i="6"/>
  <c r="AB53" i="6"/>
  <c r="Z53" i="6"/>
  <c r="U57" i="6"/>
  <c r="V53" i="6"/>
  <c r="P53" i="6"/>
  <c r="Z53" i="5"/>
  <c r="Y53" i="5"/>
  <c r="X53" i="5"/>
  <c r="R57" i="5"/>
  <c r="X53" i="1"/>
  <c r="AG55" i="1"/>
  <c r="AI54" i="1"/>
  <c r="AI52" i="1"/>
  <c r="AI56" i="1" s="1"/>
  <c r="Y57" i="1"/>
  <c r="AA53" i="4"/>
  <c r="R57" i="3"/>
  <c r="AH55" i="1"/>
  <c r="AH53" i="1"/>
  <c r="S57" i="4"/>
  <c r="V53" i="3"/>
  <c r="AM53" i="6"/>
  <c r="AI53" i="6"/>
  <c r="AJ55" i="6"/>
  <c r="AK55" i="6"/>
  <c r="AL54" i="6"/>
  <c r="AJ53" i="6"/>
  <c r="AM54" i="6"/>
  <c r="AI54" i="6"/>
  <c r="AL55" i="6"/>
  <c r="AI52" i="6"/>
  <c r="AM52" i="6"/>
  <c r="AK53" i="6"/>
  <c r="AJ54" i="6"/>
  <c r="AI55" i="6"/>
  <c r="AM55" i="6"/>
  <c r="AL52" i="6"/>
  <c r="AJ52" i="6"/>
  <c r="AL53" i="6"/>
  <c r="AK54" i="6"/>
  <c r="AK52" i="6"/>
  <c r="C56" i="2"/>
  <c r="AF54" i="5"/>
  <c r="AG53" i="5"/>
  <c r="AH53" i="5"/>
  <c r="AJ54" i="5"/>
  <c r="AF53" i="5"/>
  <c r="AJ53" i="5"/>
  <c r="AG55" i="5"/>
  <c r="Y57" i="5"/>
  <c r="AH55" i="5"/>
  <c r="L57" i="5"/>
  <c r="AF52" i="5"/>
  <c r="AG54" i="5"/>
  <c r="AG52" i="5"/>
  <c r="AI53" i="5"/>
  <c r="AH54" i="5"/>
  <c r="AI52" i="5"/>
  <c r="AI55" i="5"/>
  <c r="AJ52" i="5"/>
  <c r="AF55" i="5"/>
  <c r="AJ55" i="5"/>
  <c r="AH52" i="5"/>
  <c r="AI54" i="4"/>
  <c r="AF53" i="4"/>
  <c r="AJ53" i="4"/>
  <c r="AG55" i="4"/>
  <c r="Y57" i="4"/>
  <c r="AH55" i="4"/>
  <c r="AJ54" i="4"/>
  <c r="AI55" i="4"/>
  <c r="C57" i="4"/>
  <c r="AF52" i="4"/>
  <c r="AJ52" i="4"/>
  <c r="AH53" i="4"/>
  <c r="AG54" i="4"/>
  <c r="AF55" i="4"/>
  <c r="AJ55" i="4"/>
  <c r="AI52" i="4"/>
  <c r="AG52" i="4"/>
  <c r="AI53" i="4"/>
  <c r="AH54" i="4"/>
  <c r="AH52" i="4"/>
  <c r="AG53" i="3"/>
  <c r="AJ54" i="3"/>
  <c r="AF53" i="3"/>
  <c r="AJ53" i="3"/>
  <c r="AG55" i="3"/>
  <c r="Y57" i="3"/>
  <c r="AH55" i="3"/>
  <c r="C57" i="3"/>
  <c r="AF52" i="3"/>
  <c r="AJ52" i="3"/>
  <c r="AH53" i="3"/>
  <c r="AG54" i="3"/>
  <c r="AF55" i="3"/>
  <c r="AJ55" i="3"/>
  <c r="AI52" i="3"/>
  <c r="AG52" i="3"/>
  <c r="AI53" i="3"/>
  <c r="AH54" i="3"/>
  <c r="AI55" i="3"/>
  <c r="AH52" i="3"/>
  <c r="Z54" i="2"/>
  <c r="Y53" i="2"/>
  <c r="AA53" i="2"/>
  <c r="C53" i="2"/>
  <c r="Z52" i="2"/>
  <c r="Y54" i="2"/>
  <c r="AA54" i="2"/>
  <c r="Y52" i="2"/>
  <c r="AA52" i="2"/>
  <c r="Z53" i="2"/>
  <c r="AJ53" i="1"/>
  <c r="AH52" i="1"/>
  <c r="AH54" i="1"/>
  <c r="S57" i="1"/>
  <c r="M57" i="1"/>
  <c r="AG53" i="1"/>
  <c r="AG54" i="1"/>
  <c r="AG52" i="1"/>
  <c r="AJ55" i="1"/>
  <c r="AJ54" i="1"/>
  <c r="AJ52" i="1"/>
  <c r="AG56" i="3" l="1"/>
  <c r="AH56" i="1"/>
  <c r="AK56" i="6"/>
  <c r="AJ56" i="6"/>
  <c r="AM56" i="6"/>
  <c r="AL56" i="6"/>
  <c r="AI56" i="6"/>
  <c r="AI56" i="5"/>
  <c r="AG56" i="5"/>
  <c r="AH56" i="5"/>
  <c r="AJ56" i="5"/>
  <c r="AF56" i="5"/>
  <c r="AG56" i="4"/>
  <c r="AJ56" i="4"/>
  <c r="AF56" i="4"/>
  <c r="AH56" i="4"/>
  <c r="AI56" i="4"/>
  <c r="AI56" i="3"/>
  <c r="AJ56" i="3"/>
  <c r="AH56" i="3"/>
  <c r="AF56" i="3"/>
  <c r="AA55" i="2"/>
  <c r="Y55" i="2"/>
  <c r="Z55" i="2"/>
  <c r="AG56" i="1"/>
  <c r="AJ56" i="1"/>
  <c r="AE47" i="1" l="1"/>
  <c r="AD47" i="1"/>
  <c r="AB47" i="1"/>
  <c r="AE46" i="1"/>
  <c r="AD46" i="1"/>
  <c r="AB46" i="1"/>
  <c r="AE45" i="1"/>
  <c r="AD45" i="1"/>
  <c r="AB45" i="1"/>
  <c r="AE43" i="1"/>
  <c r="AD43" i="1"/>
  <c r="AB43" i="1"/>
  <c r="AE42" i="1"/>
  <c r="AD42" i="1"/>
  <c r="AB42" i="1"/>
  <c r="AE41" i="1"/>
  <c r="AD41" i="1"/>
  <c r="AB41" i="1"/>
  <c r="AE40" i="1"/>
  <c r="AD40" i="1"/>
  <c r="AB40" i="1"/>
  <c r="AE39" i="1"/>
  <c r="AD39" i="1"/>
  <c r="AB39" i="1"/>
  <c r="AE37" i="1"/>
  <c r="AD37" i="1"/>
  <c r="AB37" i="1"/>
  <c r="AE36" i="1"/>
  <c r="AD36" i="1"/>
  <c r="AB36" i="1"/>
  <c r="AE35" i="1"/>
  <c r="AD35" i="1"/>
  <c r="AB35" i="1"/>
  <c r="AE34" i="1"/>
  <c r="AD34" i="1"/>
  <c r="AB34" i="1"/>
  <c r="AE33" i="1"/>
  <c r="AD33" i="1"/>
  <c r="AB33" i="1"/>
  <c r="AE31" i="1"/>
  <c r="AD31" i="1"/>
  <c r="AB31" i="1"/>
  <c r="AE30" i="1"/>
  <c r="AD30" i="1"/>
  <c r="AB30" i="1"/>
  <c r="AE29" i="1"/>
  <c r="AD29" i="1"/>
  <c r="AB29" i="1"/>
  <c r="AE28" i="1"/>
  <c r="AD28" i="1"/>
  <c r="AB28" i="1"/>
  <c r="AE27" i="1"/>
  <c r="AD27" i="1"/>
  <c r="AB27" i="1"/>
  <c r="AE25" i="1"/>
  <c r="AD25" i="1"/>
  <c r="AB25" i="1"/>
  <c r="AE24" i="1"/>
  <c r="AD24" i="1"/>
  <c r="AB24" i="1"/>
  <c r="AE23" i="1"/>
  <c r="AD23" i="1"/>
  <c r="AB23" i="1"/>
  <c r="AE22" i="1"/>
  <c r="AD22" i="1"/>
  <c r="AB22" i="1"/>
  <c r="AE21" i="1"/>
  <c r="AD21" i="1"/>
  <c r="AB21" i="1"/>
  <c r="AE19" i="1"/>
  <c r="AD19" i="1"/>
  <c r="AB19" i="1"/>
  <c r="AE18" i="1"/>
  <c r="AD18" i="1"/>
  <c r="AB18" i="1"/>
  <c r="AE17" i="1"/>
  <c r="AD17" i="1"/>
  <c r="AB17" i="1"/>
  <c r="AE16" i="1"/>
  <c r="AD16" i="1"/>
  <c r="AB16" i="1"/>
  <c r="AE15" i="1"/>
  <c r="AD15" i="1"/>
  <c r="AB15" i="1"/>
  <c r="AD20" i="1"/>
  <c r="AE20" i="1"/>
  <c r="AD26" i="1"/>
  <c r="AE26" i="1"/>
  <c r="AD32" i="1"/>
  <c r="AE32" i="1"/>
  <c r="AD38" i="1"/>
  <c r="AE38" i="1"/>
  <c r="AD44" i="1"/>
  <c r="AE44" i="1"/>
  <c r="AD13" i="1"/>
  <c r="AE13" i="1"/>
  <c r="AD14" i="1"/>
  <c r="AE14" i="1"/>
  <c r="AB12" i="1"/>
  <c r="AD12" i="1"/>
  <c r="AE12" i="1"/>
  <c r="AB13" i="1"/>
  <c r="AB14" i="1"/>
  <c r="AB20" i="1"/>
  <c r="AB26" i="1"/>
  <c r="AB32" i="1"/>
  <c r="AB38" i="1"/>
  <c r="AB44" i="1"/>
  <c r="AA56" i="1" l="1"/>
  <c r="C56" i="1"/>
  <c r="C52" i="1"/>
  <c r="C51" i="1"/>
  <c r="C49" i="1"/>
  <c r="C57" i="1" s="1"/>
  <c r="AE11" i="1"/>
  <c r="AD11" i="1"/>
  <c r="AB11" i="1"/>
  <c r="AE10" i="1"/>
  <c r="AD10" i="1"/>
  <c r="AB10" i="1"/>
  <c r="AE9" i="1"/>
  <c r="AD9" i="1"/>
  <c r="AB9" i="1"/>
  <c r="AE8" i="1"/>
  <c r="AD8" i="1"/>
  <c r="AB8" i="1"/>
  <c r="AF55" i="1" l="1"/>
  <c r="AF52" i="1"/>
  <c r="C53" i="1"/>
  <c r="AF53" i="1"/>
  <c r="AF54" i="1"/>
  <c r="AF56" i="1" l="1"/>
</calcChain>
</file>

<file path=xl/sharedStrings.xml><?xml version="1.0" encoding="utf-8"?>
<sst xmlns="http://schemas.openxmlformats.org/spreadsheetml/2006/main" count="742" uniqueCount="86">
  <si>
    <t>INSTITUCIÓN EDUCATIVA:</t>
  </si>
  <si>
    <t>N°</t>
  </si>
  <si>
    <t>COMPETENCIAS</t>
  </si>
  <si>
    <t>RESPUESTAS DE CADA ESTUDIANTE</t>
  </si>
  <si>
    <t>NIVEL DEL AREA</t>
  </si>
  <si>
    <t>CAPACIDADES</t>
  </si>
  <si>
    <t>CORRECTAS</t>
  </si>
  <si>
    <t>INCORRECTAS</t>
  </si>
  <si>
    <t>OMITIDAS</t>
  </si>
  <si>
    <t>Apellidos y Nombres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</si>
  <si>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</si>
  <si>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</si>
  <si>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</si>
  <si>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</si>
  <si>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</si>
  <si>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</si>
  <si>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</si>
  <si>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</si>
  <si>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</si>
  <si>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</si>
  <si>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</si>
  <si>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</si>
  <si>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</si>
  <si>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</si>
  <si>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</si>
  <si>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</si>
  <si>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</si>
  <si>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</si>
  <si>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</si>
  <si>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</si>
  <si>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 xml:space="preserve"> </t>
  </si>
  <si>
    <t>RESUMEN DE RESPUESTAS DE AULA</t>
  </si>
  <si>
    <t>PARA LA DREH</t>
  </si>
  <si>
    <t>NIVEL DE AREA</t>
  </si>
  <si>
    <t>Logrado</t>
  </si>
  <si>
    <t>TOTAL</t>
  </si>
  <si>
    <t>Proceso</t>
  </si>
  <si>
    <t>Inicio</t>
  </si>
  <si>
    <t>Previo al Inicio</t>
  </si>
  <si>
    <t>ANÁLISIS POR ÍTEMS</t>
  </si>
  <si>
    <t>TOTAL DE EVALUADOS</t>
  </si>
  <si>
    <t>ANÁLISIS POR COMPETENCIA</t>
  </si>
  <si>
    <t>LEYENDA</t>
  </si>
  <si>
    <t>3 =</t>
  </si>
  <si>
    <t>1 =</t>
  </si>
  <si>
    <t>0 =</t>
  </si>
  <si>
    <t>Usa estrategias y procedimientos de estimación y cálculo.</t>
  </si>
  <si>
    <t>Traduce cantidades a expresiones numéricas.</t>
  </si>
  <si>
    <t>Comunica su comprensión sobre los números y las operaciones.</t>
  </si>
  <si>
    <t>Argumenta afirmaciones sobre las relaciones numéricas y las operaciones.</t>
  </si>
  <si>
    <t>Resuelve problemas de cantidad</t>
  </si>
  <si>
    <t>Usa estrategias y procedimientos para encontrar reglas generales.</t>
  </si>
  <si>
    <t>Argumenta afirmaciones sobre relaciones de cambio y equivalencia.</t>
  </si>
  <si>
    <t>P21</t>
  </si>
  <si>
    <t>P22</t>
  </si>
  <si>
    <t>P23</t>
  </si>
  <si>
    <t>P24</t>
  </si>
  <si>
    <t>Traduce datos y condiciones a expresiones algebraicas.</t>
  </si>
  <si>
    <t>Resuelve problemas de regularidad, equivalencia y cambio</t>
  </si>
  <si>
    <t>Comunica su comprensión sobre las formas y relaciones geométricas.</t>
  </si>
  <si>
    <t>Argumenta afirmaciones sobre relaciones geométricas.</t>
  </si>
  <si>
    <t>Modela objetos con formas geométricas y sus transformaciones.</t>
  </si>
  <si>
    <t>Usa estrategias y procedimientos para orientarse en el espacio.</t>
  </si>
  <si>
    <t>Usa estrategias y procedimientos para recopilar y procesar datos.</t>
  </si>
  <si>
    <t>Resuelve problemas de forma, movimiento y localización.</t>
  </si>
  <si>
    <t>Comunica la comprensión de los conceptos estadísticos y probabilísticos.</t>
  </si>
  <si>
    <t>Resuelve problemas de gestión de datos e incertidumbre.</t>
  </si>
  <si>
    <t>P25</t>
  </si>
  <si>
    <t>PARCIALES</t>
  </si>
  <si>
    <t>2=</t>
  </si>
  <si>
    <t>REGISTRO DE LA PRUEBA DIAGNÓSTICA DE MATEMÁTICA 1° GRADO PRIMARIA</t>
  </si>
  <si>
    <t>Comunica su comprensión sobre las relaciones algebraicas.</t>
  </si>
  <si>
    <t>P26</t>
  </si>
  <si>
    <t>Sustenta conclusiones o decisiones con base en la información obtenida.</t>
  </si>
  <si>
    <t>Representa datos con gráficos y medidas estadísticas o probabilísticas.</t>
  </si>
  <si>
    <t>REGISTRO DE LA PRUEBA DIAGNÓSTICA DE MATEMÁTICA 5° GRADO PRIMARIA</t>
  </si>
  <si>
    <t>REGISTRO DE LA PRUEBA DIAGNÓSTICA DE MATEMÁTICA 6° GRADO PRIMARIA</t>
  </si>
  <si>
    <t>P27</t>
  </si>
  <si>
    <t>P28</t>
  </si>
  <si>
    <t>REGISTRO DE LA PRUEBA DIAGNÓSTICA DE MATEMÁTICA 2° GRADO PRIMARIA</t>
  </si>
  <si>
    <t>REGISTRO DE LA PRUEBA DIAGNÓSTICA DE MATEMÁTICA 3° GRADO PRIMARIA</t>
  </si>
  <si>
    <t>JUAN</t>
  </si>
  <si>
    <t>PEDRO</t>
  </si>
  <si>
    <t>MARÍA</t>
  </si>
  <si>
    <t>SALOME</t>
  </si>
  <si>
    <t>PARA EL 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</si>
</sst>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0"/>
      <name val="Arial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20"/>
      <color theme="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9FFB6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521"/>
        <bgColor indexed="64"/>
      </patternFill>
    </fill>
    <fill>
      <patternFill patternType="solid">
        <fgColor rgb="FFFFFF79"/>
        <bgColor indexed="64"/>
      </patternFill>
    </fill>
  </fills>
  <borders count="71">
    <border>
      <left/>
      <right/>
      <top/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5" tint="-0.499984740745262"/>
      </left>
      <right style="medium">
        <color theme="5" tint="-0.499984740745262"/>
      </right>
      <top style="thin">
        <color indexed="64"/>
      </top>
      <bottom style="medium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 style="thin">
        <color indexed="64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medium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  <border>
      <left style="thin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medium">
        <color theme="5" tint="-0.499984740745262"/>
      </top>
      <bottom/>
      <diagonal/>
    </border>
    <border>
      <left/>
      <right style="thin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/>
      <right/>
      <top/>
      <bottom style="thin">
        <color theme="5" tint="-0.499984740745262"/>
      </bottom>
      <diagonal/>
    </border>
    <border>
      <left/>
      <right/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/>
      <top/>
      <bottom style="thin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 style="thin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/>
      <top style="thin">
        <color theme="5" tint="-0.499984740745262"/>
      </top>
      <bottom style="medium">
        <color theme="5" tint="-0.499984740745262"/>
      </bottom>
      <diagonal/>
    </border>
    <border>
      <left/>
      <right/>
      <top style="thin">
        <color theme="5" tint="-0.499984740745262"/>
      </top>
      <bottom style="medium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/>
      <top style="medium">
        <color theme="5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/>
      <top style="medium">
        <color theme="5" tint="-0.499984740745262"/>
      </top>
      <bottom style="thin">
        <color theme="5" tint="-0.499984740745262"/>
      </bottom>
      <diagonal/>
    </border>
    <border>
      <left/>
      <right/>
      <top style="medium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medium">
        <color theme="5" tint="-0.499984740745262"/>
      </top>
      <bottom/>
      <diagonal/>
    </border>
    <border>
      <left/>
      <right style="thin">
        <color theme="5" tint="-0.499984740745262"/>
      </right>
      <top style="medium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thin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/>
      <top/>
      <bottom/>
      <diagonal/>
    </border>
    <border>
      <left style="medium">
        <color theme="5" tint="-0.499984740745262"/>
      </left>
      <right style="medium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/>
      <right style="medium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medium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/>
      <bottom style="medium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/>
      <right style="thin">
        <color theme="5" tint="-0.499984740745262"/>
      </right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12" xfId="0" applyFont="1" applyFill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7" fillId="10" borderId="9" xfId="0" applyFont="1" applyFill="1" applyBorder="1" applyAlignment="1" applyProtection="1">
      <alignment horizontal="center" vertical="center"/>
      <protection locked="0"/>
    </xf>
    <xf numFmtId="0" fontId="5" fillId="9" borderId="9" xfId="0" applyFont="1" applyFill="1" applyBorder="1" applyAlignment="1" applyProtection="1">
      <alignment horizontal="center" vertical="center" wrapText="1"/>
      <protection locked="0"/>
    </xf>
    <xf numFmtId="0" fontId="5" fillId="9" borderId="58" xfId="0" applyFont="1" applyFill="1" applyBorder="1" applyAlignment="1" applyProtection="1">
      <alignment horizontal="center" vertical="center" textRotation="90" wrapText="1"/>
      <protection locked="0"/>
    </xf>
    <xf numFmtId="0" fontId="5" fillId="9" borderId="48" xfId="0" applyFont="1" applyFill="1" applyBorder="1" applyAlignment="1" applyProtection="1">
      <alignment vertical="center" textRotation="90" wrapText="1"/>
      <protection locked="0"/>
    </xf>
    <xf numFmtId="0" fontId="5" fillId="9" borderId="29" xfId="0" applyFont="1" applyFill="1" applyBorder="1" applyAlignment="1" applyProtection="1">
      <alignment vertical="center" textRotation="90" wrapText="1"/>
      <protection locked="0"/>
    </xf>
    <xf numFmtId="0" fontId="5" fillId="12" borderId="13" xfId="0" applyFont="1" applyFill="1" applyBorder="1" applyAlignment="1" applyProtection="1">
      <alignment horizontal="center" vertical="center"/>
      <protection locked="0"/>
    </xf>
    <xf numFmtId="0" fontId="5" fillId="12" borderId="22" xfId="0" applyFont="1" applyFill="1" applyBorder="1" applyAlignment="1" applyProtection="1">
      <alignment horizontal="center" vertical="center"/>
      <protection locked="0"/>
    </xf>
    <xf numFmtId="0" fontId="5" fillId="12" borderId="23" xfId="0" applyFont="1" applyFill="1" applyBorder="1" applyAlignment="1" applyProtection="1">
      <alignment horizontal="center" vertical="center"/>
      <protection locked="0"/>
    </xf>
    <xf numFmtId="0" fontId="5" fillId="12" borderId="28" xfId="0" applyFont="1" applyFill="1" applyBorder="1" applyAlignment="1" applyProtection="1">
      <alignment horizontal="center" vertical="center"/>
      <protection locked="0"/>
    </xf>
    <xf numFmtId="0" fontId="5" fillId="12" borderId="24" xfId="0" applyFont="1" applyFill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/>
      <protection locked="0"/>
    </xf>
    <xf numFmtId="0" fontId="5" fillId="0" borderId="31" xfId="0" applyFont="1" applyBorder="1" applyProtection="1">
      <protection locked="0"/>
    </xf>
    <xf numFmtId="0" fontId="3" fillId="0" borderId="41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0" fontId="3" fillId="11" borderId="17" xfId="0" applyFont="1" applyFill="1" applyBorder="1" applyAlignment="1" applyProtection="1">
      <alignment horizontal="center"/>
      <protection locked="0"/>
    </xf>
    <xf numFmtId="0" fontId="3" fillId="11" borderId="2" xfId="0" applyFont="1" applyFill="1" applyBorder="1" applyAlignment="1" applyProtection="1">
      <alignment horizontal="center"/>
      <protection locked="0"/>
    </xf>
    <xf numFmtId="0" fontId="3" fillId="11" borderId="5" xfId="0" applyFont="1" applyFill="1" applyBorder="1" applyAlignment="1" applyProtection="1">
      <alignment horizontal="center"/>
      <protection locked="0"/>
    </xf>
    <xf numFmtId="0" fontId="5" fillId="0" borderId="32" xfId="0" applyFont="1" applyBorder="1" applyProtection="1"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center"/>
      <protection locked="0"/>
    </xf>
    <xf numFmtId="0" fontId="5" fillId="11" borderId="39" xfId="0" applyFont="1" applyFill="1" applyBorder="1" applyProtection="1">
      <protection locked="0"/>
    </xf>
    <xf numFmtId="0" fontId="3" fillId="11" borderId="53" xfId="0" applyFont="1" applyFill="1" applyBorder="1" applyAlignment="1" applyProtection="1">
      <alignment horizontal="center"/>
      <protection locked="0"/>
    </xf>
    <xf numFmtId="0" fontId="3" fillId="11" borderId="3" xfId="0" applyFont="1" applyFill="1" applyBorder="1" applyAlignment="1" applyProtection="1">
      <alignment horizontal="center"/>
      <protection locked="0"/>
    </xf>
    <xf numFmtId="0" fontId="3" fillId="11" borderId="6" xfId="0" applyFont="1" applyFill="1" applyBorder="1" applyAlignment="1" applyProtection="1">
      <alignment horizontal="center"/>
      <protection locked="0"/>
    </xf>
    <xf numFmtId="0" fontId="3" fillId="11" borderId="19" xfId="0" applyFont="1" applyFill="1" applyBorder="1" applyAlignment="1" applyProtection="1">
      <alignment horizontal="center"/>
      <protection locked="0"/>
    </xf>
    <xf numFmtId="0" fontId="3" fillId="11" borderId="20" xfId="0" applyFont="1" applyFill="1" applyBorder="1" applyAlignment="1" applyProtection="1">
      <alignment horizontal="center"/>
      <protection locked="0"/>
    </xf>
    <xf numFmtId="0" fontId="6" fillId="10" borderId="22" xfId="0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9" fontId="3" fillId="0" borderId="0" xfId="1" applyFont="1" applyBorder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5" fillId="3" borderId="10" xfId="0" applyFont="1" applyFill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5" fillId="4" borderId="11" xfId="0" applyFont="1" applyFill="1" applyBorder="1" applyAlignment="1" applyProtection="1">
      <alignment horizontal="left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0" borderId="26" xfId="0" applyFont="1" applyBorder="1" applyAlignment="1" applyProtection="1">
      <alignment horizontal="center" vertical="center"/>
      <protection hidden="1"/>
    </xf>
    <xf numFmtId="0" fontId="5" fillId="0" borderId="34" xfId="0" applyFont="1" applyBorder="1" applyAlignment="1" applyProtection="1">
      <alignment horizontal="center" vertical="center"/>
      <protection hidden="1"/>
    </xf>
    <xf numFmtId="0" fontId="5" fillId="0" borderId="31" xfId="0" applyFont="1" applyBorder="1" applyAlignment="1" applyProtection="1">
      <alignment horizontal="center" vertical="center"/>
      <protection hidden="1"/>
    </xf>
    <xf numFmtId="0" fontId="5" fillId="0" borderId="33" xfId="0" applyFont="1" applyBorder="1" applyAlignment="1" applyProtection="1">
      <alignment horizontal="center" vertical="center"/>
      <protection hidden="1"/>
    </xf>
    <xf numFmtId="0" fontId="5" fillId="11" borderId="26" xfId="0" applyFont="1" applyFill="1" applyBorder="1" applyAlignment="1" applyProtection="1">
      <alignment horizontal="center" vertical="center"/>
      <protection hidden="1"/>
    </xf>
    <xf numFmtId="0" fontId="5" fillId="11" borderId="32" xfId="0" applyFont="1" applyFill="1" applyBorder="1" applyAlignment="1" applyProtection="1">
      <alignment horizontal="center" vertical="center"/>
      <protection hidden="1"/>
    </xf>
    <xf numFmtId="0" fontId="5" fillId="0" borderId="32" xfId="0" applyFont="1" applyBorder="1" applyAlignment="1" applyProtection="1">
      <alignment horizontal="center" vertical="center"/>
      <protection hidden="1"/>
    </xf>
    <xf numFmtId="0" fontId="5" fillId="0" borderId="59" xfId="0" applyFont="1" applyBorder="1" applyAlignment="1" applyProtection="1">
      <alignment horizontal="center" vertical="center"/>
      <protection hidden="1"/>
    </xf>
    <xf numFmtId="0" fontId="5" fillId="0" borderId="45" xfId="0" applyFont="1" applyBorder="1" applyAlignment="1" applyProtection="1">
      <alignment horizontal="center" vertical="center"/>
      <protection hidden="1"/>
    </xf>
    <xf numFmtId="0" fontId="5" fillId="11" borderId="27" xfId="0" applyFont="1" applyFill="1" applyBorder="1" applyAlignment="1" applyProtection="1">
      <alignment horizontal="center" vertical="center"/>
      <protection hidden="1"/>
    </xf>
    <xf numFmtId="0" fontId="5" fillId="11" borderId="39" xfId="0" applyFont="1" applyFill="1" applyBorder="1" applyAlignment="1" applyProtection="1">
      <alignment horizontal="center" vertical="center"/>
      <protection hidden="1"/>
    </xf>
    <xf numFmtId="0" fontId="5" fillId="0" borderId="36" xfId="0" applyFont="1" applyBorder="1" applyAlignment="1" applyProtection="1">
      <alignment horizontal="center" vertical="center"/>
      <protection hidden="1"/>
    </xf>
    <xf numFmtId="9" fontId="5" fillId="2" borderId="41" xfId="1" applyFont="1" applyFill="1" applyBorder="1" applyAlignment="1" applyProtection="1">
      <alignment horizontal="center"/>
      <protection hidden="1"/>
    </xf>
    <xf numFmtId="9" fontId="5" fillId="13" borderId="37" xfId="1" applyFont="1" applyFill="1" applyBorder="1" applyAlignment="1" applyProtection="1">
      <alignment horizontal="center"/>
      <protection hidden="1"/>
    </xf>
    <xf numFmtId="9" fontId="5" fillId="3" borderId="17" xfId="1" applyFont="1" applyFill="1" applyBorder="1" applyAlignment="1" applyProtection="1">
      <alignment horizontal="center"/>
      <protection hidden="1"/>
    </xf>
    <xf numFmtId="9" fontId="5" fillId="4" borderId="53" xfId="1" applyFont="1" applyFill="1" applyBorder="1" applyAlignment="1" applyProtection="1">
      <alignment horizontal="center"/>
      <protection hidden="1"/>
    </xf>
    <xf numFmtId="9" fontId="5" fillId="0" borderId="22" xfId="0" applyNumberFormat="1" applyFont="1" applyBorder="1" applyAlignment="1" applyProtection="1">
      <alignment horizontal="center"/>
      <protection hidden="1"/>
    </xf>
    <xf numFmtId="0" fontId="5" fillId="0" borderId="34" xfId="0" applyFont="1" applyBorder="1" applyAlignment="1" applyProtection="1">
      <alignment horizontal="center"/>
      <protection hidden="1"/>
    </xf>
    <xf numFmtId="0" fontId="5" fillId="0" borderId="26" xfId="0" applyFont="1" applyBorder="1" applyAlignment="1" applyProtection="1">
      <alignment horizontal="center"/>
      <protection hidden="1"/>
    </xf>
    <xf numFmtId="0" fontId="10" fillId="9" borderId="1" xfId="0" applyFont="1" applyFill="1" applyBorder="1" applyAlignment="1" applyProtection="1">
      <alignment horizontal="center" vertical="center"/>
      <protection hidden="1"/>
    </xf>
    <xf numFmtId="0" fontId="5" fillId="0" borderId="48" xfId="0" applyFont="1" applyBorder="1" applyAlignment="1" applyProtection="1">
      <alignment horizontal="center" vertical="center" wrapText="1"/>
      <protection hidden="1"/>
    </xf>
    <xf numFmtId="0" fontId="5" fillId="0" borderId="29" xfId="0" applyFont="1" applyBorder="1" applyAlignment="1" applyProtection="1">
      <alignment horizontal="center" vertical="center" wrapText="1"/>
      <protection hidden="1"/>
    </xf>
    <xf numFmtId="0" fontId="5" fillId="0" borderId="40" xfId="0" applyFont="1" applyBorder="1" applyAlignment="1" applyProtection="1">
      <alignment horizontal="center" vertical="center" wrapText="1"/>
      <protection hidden="1"/>
    </xf>
    <xf numFmtId="0" fontId="5" fillId="0" borderId="52" xfId="0" applyFont="1" applyBorder="1" applyAlignment="1" applyProtection="1">
      <alignment horizontal="center" vertical="center" wrapText="1"/>
      <protection hidden="1"/>
    </xf>
    <xf numFmtId="0" fontId="5" fillId="9" borderId="29" xfId="0" applyFont="1" applyFill="1" applyBorder="1" applyAlignment="1" applyProtection="1">
      <alignment horizontal="center" vertical="center" textRotation="90" wrapText="1"/>
      <protection locked="0"/>
    </xf>
    <xf numFmtId="0" fontId="5" fillId="9" borderId="48" xfId="0" applyFont="1" applyFill="1" applyBorder="1" applyAlignment="1" applyProtection="1">
      <alignment horizontal="center" vertical="center" textRotation="90" wrapText="1"/>
      <protection locked="0"/>
    </xf>
    <xf numFmtId="0" fontId="5" fillId="9" borderId="40" xfId="0" applyFont="1" applyFill="1" applyBorder="1" applyAlignment="1" applyProtection="1">
      <alignment horizontal="center" vertical="center" textRotation="90" wrapText="1"/>
      <protection locked="0"/>
    </xf>
    <xf numFmtId="0" fontId="5" fillId="9" borderId="40" xfId="0" applyFont="1" applyFill="1" applyBorder="1" applyAlignment="1" applyProtection="1">
      <alignment vertical="center" textRotation="90" wrapText="1"/>
      <protection locked="0"/>
    </xf>
    <xf numFmtId="0" fontId="3" fillId="0" borderId="42" xfId="0" applyFont="1" applyBorder="1" applyAlignment="1" applyProtection="1">
      <alignment horizontal="center"/>
      <protection locked="0"/>
    </xf>
    <xf numFmtId="0" fontId="3" fillId="11" borderId="18" xfId="0" applyFont="1" applyFill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11" borderId="21" xfId="0" applyFont="1" applyFill="1" applyBorder="1" applyAlignment="1" applyProtection="1">
      <alignment horizontal="center"/>
      <protection locked="0"/>
    </xf>
    <xf numFmtId="1" fontId="3" fillId="0" borderId="0" xfId="1" applyNumberFormat="1" applyFont="1" applyBorder="1" applyProtection="1">
      <protection locked="0"/>
    </xf>
    <xf numFmtId="0" fontId="5" fillId="0" borderId="54" xfId="0" applyFont="1" applyBorder="1" applyAlignment="1" applyProtection="1">
      <alignment horizontal="center"/>
      <protection hidden="1"/>
    </xf>
    <xf numFmtId="0" fontId="11" fillId="9" borderId="1" xfId="0" applyFont="1" applyFill="1" applyBorder="1" applyAlignment="1" applyProtection="1">
      <alignment horizontal="center" vertical="center"/>
      <protection hidden="1"/>
    </xf>
    <xf numFmtId="0" fontId="5" fillId="0" borderId="51" xfId="0" applyFont="1" applyBorder="1" applyAlignment="1" applyProtection="1">
      <alignment horizontal="center" vertical="center" wrapText="1"/>
      <protection hidden="1"/>
    </xf>
    <xf numFmtId="0" fontId="5" fillId="9" borderId="22" xfId="0" applyFont="1" applyFill="1" applyBorder="1" applyAlignment="1" applyProtection="1">
      <alignment horizontal="center" vertical="center" textRotation="90" wrapText="1"/>
      <protection locked="0"/>
    </xf>
    <xf numFmtId="0" fontId="5" fillId="9" borderId="23" xfId="0" applyFont="1" applyFill="1" applyBorder="1" applyAlignment="1" applyProtection="1">
      <alignment horizontal="center" vertical="center" textRotation="90" wrapText="1"/>
      <protection locked="0"/>
    </xf>
    <xf numFmtId="0" fontId="5" fillId="9" borderId="28" xfId="0" applyFont="1" applyFill="1" applyBorder="1" applyAlignment="1" applyProtection="1">
      <alignment horizontal="center" vertical="center" textRotation="90" wrapText="1"/>
      <protection locked="0"/>
    </xf>
    <xf numFmtId="0" fontId="5" fillId="9" borderId="15" xfId="0" applyFont="1" applyFill="1" applyBorder="1" applyAlignment="1" applyProtection="1">
      <alignment horizontal="center" vertical="center" textRotation="90" wrapText="1"/>
      <protection locked="0"/>
    </xf>
    <xf numFmtId="0" fontId="5" fillId="12" borderId="61" xfId="0" applyFont="1" applyFill="1" applyBorder="1" applyAlignment="1" applyProtection="1">
      <alignment horizontal="center" vertical="center"/>
      <protection locked="0"/>
    </xf>
    <xf numFmtId="0" fontId="5" fillId="12" borderId="60" xfId="0" applyFont="1" applyFill="1" applyBorder="1" applyAlignment="1" applyProtection="1">
      <alignment horizontal="center" vertical="center"/>
      <protection locked="0"/>
    </xf>
    <xf numFmtId="0" fontId="5" fillId="12" borderId="62" xfId="0" applyFont="1" applyFill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hidden="1"/>
    </xf>
    <xf numFmtId="0" fontId="5" fillId="0" borderId="39" xfId="0" applyFont="1" applyBorder="1" applyAlignment="1" applyProtection="1">
      <alignment horizontal="center" vertical="center"/>
      <protection hidden="1"/>
    </xf>
    <xf numFmtId="0" fontId="5" fillId="0" borderId="47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5" fillId="9" borderId="22" xfId="0" applyFont="1" applyFill="1" applyBorder="1" applyAlignment="1" applyProtection="1">
      <alignment vertical="center" textRotation="90" wrapText="1"/>
      <protection locked="0"/>
    </xf>
    <xf numFmtId="0" fontId="5" fillId="9" borderId="23" xfId="0" applyFont="1" applyFill="1" applyBorder="1" applyAlignment="1" applyProtection="1">
      <alignment vertical="center" textRotation="90" wrapText="1"/>
      <protection locked="0"/>
    </xf>
    <xf numFmtId="0" fontId="5" fillId="9" borderId="15" xfId="0" applyFont="1" applyFill="1" applyBorder="1" applyAlignment="1" applyProtection="1">
      <alignment vertical="center" textRotation="90" wrapText="1"/>
      <protection locked="0"/>
    </xf>
    <xf numFmtId="0" fontId="5" fillId="9" borderId="13" xfId="0" applyFont="1" applyFill="1" applyBorder="1" applyAlignment="1" applyProtection="1">
      <alignment vertical="center" textRotation="90" wrapText="1"/>
      <protection locked="0"/>
    </xf>
    <xf numFmtId="0" fontId="5" fillId="9" borderId="28" xfId="0" applyFont="1" applyFill="1" applyBorder="1" applyAlignment="1" applyProtection="1">
      <alignment vertical="center" textRotation="90" wrapText="1"/>
      <protection locked="0"/>
    </xf>
    <xf numFmtId="0" fontId="5" fillId="9" borderId="24" xfId="0" applyFont="1" applyFill="1" applyBorder="1" applyAlignment="1" applyProtection="1">
      <alignment vertical="center" textRotation="90" wrapText="1"/>
      <protection locked="0"/>
    </xf>
    <xf numFmtId="0" fontId="3" fillId="11" borderId="46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9" borderId="51" xfId="0" applyFont="1" applyFill="1" applyBorder="1" applyAlignment="1" applyProtection="1">
      <alignment horizontal="center" vertical="center" textRotation="90" wrapText="1"/>
      <protection locked="0"/>
    </xf>
    <xf numFmtId="0" fontId="5" fillId="9" borderId="8" xfId="0" applyFont="1" applyFill="1" applyBorder="1" applyAlignment="1" applyProtection="1">
      <alignment vertical="center" textRotation="90" wrapText="1"/>
      <protection locked="0"/>
    </xf>
    <xf numFmtId="0" fontId="5" fillId="9" borderId="51" xfId="0" applyFont="1" applyFill="1" applyBorder="1" applyAlignment="1" applyProtection="1">
      <alignment vertical="center" textRotation="90" wrapText="1"/>
      <protection locked="0"/>
    </xf>
    <xf numFmtId="0" fontId="5" fillId="12" borderId="63" xfId="0" applyFont="1" applyFill="1" applyBorder="1" applyAlignment="1" applyProtection="1">
      <alignment horizontal="center" vertical="center"/>
      <protection locked="0"/>
    </xf>
    <xf numFmtId="0" fontId="5" fillId="12" borderId="64" xfId="0" applyFont="1" applyFill="1" applyBorder="1" applyAlignment="1" applyProtection="1">
      <alignment horizontal="center" vertical="center"/>
      <protection locked="0"/>
    </xf>
    <xf numFmtId="0" fontId="5" fillId="0" borderId="65" xfId="0" applyFont="1" applyBorder="1" applyAlignment="1" applyProtection="1">
      <alignment horizontal="center" vertical="center" wrapText="1"/>
      <protection hidden="1"/>
    </xf>
    <xf numFmtId="0" fontId="5" fillId="0" borderId="66" xfId="0" applyFont="1" applyBorder="1" applyAlignment="1" applyProtection="1">
      <alignment horizontal="center" vertical="center" wrapText="1"/>
      <protection hidden="1"/>
    </xf>
    <xf numFmtId="0" fontId="5" fillId="0" borderId="67" xfId="0" applyFont="1" applyBorder="1" applyAlignment="1" applyProtection="1">
      <alignment horizontal="center" vertical="center" wrapText="1"/>
      <protection hidden="1"/>
    </xf>
    <xf numFmtId="0" fontId="5" fillId="4" borderId="25" xfId="0" applyFont="1" applyFill="1" applyBorder="1" applyAlignment="1" applyProtection="1">
      <alignment horizontal="center" vertical="center" textRotation="90" wrapText="1"/>
      <protection locked="0"/>
    </xf>
    <xf numFmtId="0" fontId="5" fillId="4" borderId="27" xfId="0" applyFont="1" applyFill="1" applyBorder="1" applyAlignment="1" applyProtection="1">
      <alignment horizontal="center" vertical="center" textRotation="90" wrapText="1"/>
      <protection locked="0"/>
    </xf>
    <xf numFmtId="0" fontId="8" fillId="12" borderId="49" xfId="0" applyFont="1" applyFill="1" applyBorder="1" applyAlignment="1" applyProtection="1">
      <alignment horizontal="center" vertical="center" textRotation="90" wrapText="1"/>
      <protection locked="0"/>
    </xf>
    <xf numFmtId="0" fontId="8" fillId="12" borderId="38" xfId="0" applyFont="1" applyFill="1" applyBorder="1" applyAlignment="1" applyProtection="1">
      <alignment horizontal="center" vertical="center" textRotation="90" wrapText="1"/>
      <protection locked="0"/>
    </xf>
    <xf numFmtId="0" fontId="2" fillId="10" borderId="13" xfId="0" applyFont="1" applyFill="1" applyBorder="1" applyAlignment="1" applyProtection="1">
      <alignment horizontal="center"/>
      <protection locked="0"/>
    </xf>
    <xf numFmtId="0" fontId="2" fillId="10" borderId="14" xfId="0" applyFont="1" applyFill="1" applyBorder="1" applyAlignment="1" applyProtection="1">
      <alignment horizontal="center"/>
      <protection locked="0"/>
    </xf>
    <xf numFmtId="0" fontId="2" fillId="10" borderId="15" xfId="0" applyFont="1" applyFill="1" applyBorder="1" applyAlignment="1" applyProtection="1">
      <alignment horizontal="center"/>
      <protection locked="0"/>
    </xf>
    <xf numFmtId="0" fontId="4" fillId="10" borderId="13" xfId="0" applyFont="1" applyFill="1" applyBorder="1" applyAlignment="1" applyProtection="1">
      <alignment horizontal="center"/>
      <protection locked="0"/>
    </xf>
    <xf numFmtId="0" fontId="4" fillId="10" borderId="15" xfId="0" applyFont="1" applyFill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/>
      <protection locked="0"/>
    </xf>
    <xf numFmtId="0" fontId="5" fillId="0" borderId="14" xfId="0" applyFont="1" applyBorder="1" applyAlignment="1" applyProtection="1">
      <alignment horizontal="center"/>
      <protection locked="0"/>
    </xf>
    <xf numFmtId="0" fontId="5" fillId="0" borderId="15" xfId="0" applyFont="1" applyBorder="1" applyAlignment="1" applyProtection="1">
      <alignment horizontal="center"/>
      <protection locked="0"/>
    </xf>
    <xf numFmtId="0" fontId="6" fillId="10" borderId="25" xfId="0" applyFont="1" applyFill="1" applyBorder="1" applyAlignment="1" applyProtection="1">
      <alignment horizontal="center" vertical="center"/>
      <protection locked="0"/>
    </xf>
    <xf numFmtId="0" fontId="6" fillId="10" borderId="26" xfId="0" applyFont="1" applyFill="1" applyBorder="1" applyAlignment="1" applyProtection="1">
      <alignment horizontal="center" vertical="center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8" fillId="12" borderId="29" xfId="0" applyFont="1" applyFill="1" applyBorder="1" applyAlignment="1" applyProtection="1">
      <alignment horizontal="center" vertical="center" wrapText="1"/>
      <protection locked="0"/>
    </xf>
    <xf numFmtId="0" fontId="8" fillId="12" borderId="22" xfId="0" applyFont="1" applyFill="1" applyBorder="1" applyAlignment="1" applyProtection="1">
      <alignment horizontal="center" vertical="center" wrapText="1"/>
      <protection locked="0"/>
    </xf>
    <xf numFmtId="0" fontId="8" fillId="12" borderId="30" xfId="0" applyFont="1" applyFill="1" applyBorder="1" applyAlignment="1" applyProtection="1">
      <alignment horizontal="center" vertical="center" wrapText="1"/>
      <protection locked="0"/>
    </xf>
    <xf numFmtId="0" fontId="8" fillId="12" borderId="23" xfId="0" applyFont="1" applyFill="1" applyBorder="1" applyAlignment="1" applyProtection="1">
      <alignment horizontal="center" vertical="center" wrapText="1"/>
      <protection locked="0"/>
    </xf>
    <xf numFmtId="0" fontId="8" fillId="12" borderId="24" xfId="0" applyFont="1" applyFill="1" applyBorder="1" applyAlignment="1" applyProtection="1">
      <alignment horizontal="center" vertical="center" wrapText="1"/>
      <protection locked="0"/>
    </xf>
    <xf numFmtId="0" fontId="7" fillId="10" borderId="48" xfId="0" applyFont="1" applyFill="1" applyBorder="1" applyAlignment="1" applyProtection="1">
      <alignment horizontal="center" vertical="center" wrapText="1"/>
      <protection locked="0"/>
    </xf>
    <xf numFmtId="0" fontId="7" fillId="10" borderId="5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5" fillId="13" borderId="37" xfId="0" applyFont="1" applyFill="1" applyBorder="1" applyAlignment="1" applyProtection="1">
      <alignment horizontal="center" vertical="center"/>
      <protection locked="0"/>
    </xf>
    <xf numFmtId="0" fontId="5" fillId="13" borderId="45" xfId="0" applyFont="1" applyFill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4" borderId="53" xfId="0" applyFont="1" applyFill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 applyProtection="1">
      <alignment horizontal="center" vertical="center"/>
      <protection locked="0"/>
    </xf>
    <xf numFmtId="0" fontId="5" fillId="6" borderId="41" xfId="0" applyFont="1" applyFill="1" applyBorder="1" applyAlignment="1" applyProtection="1">
      <alignment horizontal="center"/>
      <protection locked="0"/>
    </xf>
    <xf numFmtId="0" fontId="5" fillId="6" borderId="7" xfId="0" applyFont="1" applyFill="1" applyBorder="1" applyAlignment="1" applyProtection="1">
      <alignment horizontal="center"/>
      <protection locked="0"/>
    </xf>
    <xf numFmtId="0" fontId="5" fillId="2" borderId="41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6" fillId="10" borderId="16" xfId="0" applyFont="1" applyFill="1" applyBorder="1" applyAlignment="1" applyProtection="1">
      <alignment horizontal="center" vertical="center"/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0" fontId="6" fillId="10" borderId="55" xfId="0" applyFont="1" applyFill="1" applyBorder="1" applyAlignment="1" applyProtection="1">
      <alignment horizontal="center" vertical="center"/>
      <protection locked="0"/>
    </xf>
    <xf numFmtId="0" fontId="6" fillId="10" borderId="56" xfId="0" applyFont="1" applyFill="1" applyBorder="1" applyAlignment="1" applyProtection="1">
      <alignment horizontal="center" vertical="center"/>
      <protection locked="0"/>
    </xf>
    <xf numFmtId="0" fontId="6" fillId="10" borderId="19" xfId="0" applyFont="1" applyFill="1" applyBorder="1" applyAlignment="1" applyProtection="1">
      <alignment horizontal="center" vertical="center"/>
      <protection locked="0"/>
    </xf>
    <xf numFmtId="0" fontId="6" fillId="10" borderId="46" xfId="0" applyFont="1" applyFill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8" fillId="12" borderId="57" xfId="0" applyFont="1" applyFill="1" applyBorder="1" applyAlignment="1" applyProtection="1">
      <alignment horizontal="center" vertical="center" wrapText="1"/>
      <protection locked="0"/>
    </xf>
    <xf numFmtId="0" fontId="8" fillId="12" borderId="27" xfId="0" applyFont="1" applyFill="1" applyBorder="1" applyAlignment="1" applyProtection="1">
      <alignment horizontal="center" vertical="center" wrapText="1"/>
      <protection locked="0"/>
    </xf>
    <xf numFmtId="0" fontId="6" fillId="10" borderId="25" xfId="0" applyFont="1" applyFill="1" applyBorder="1" applyAlignment="1" applyProtection="1">
      <alignment horizontal="center" vertical="center" wrapText="1"/>
      <protection locked="0"/>
    </xf>
    <xf numFmtId="0" fontId="6" fillId="10" borderId="57" xfId="0" applyFont="1" applyFill="1" applyBorder="1" applyAlignment="1" applyProtection="1">
      <alignment horizontal="center" vertical="center" wrapText="1"/>
      <protection locked="0"/>
    </xf>
    <xf numFmtId="0" fontId="6" fillId="10" borderId="27" xfId="0" applyFont="1" applyFill="1" applyBorder="1" applyAlignment="1" applyProtection="1">
      <alignment horizontal="center" vertical="center" wrapText="1"/>
      <protection locked="0"/>
    </xf>
    <xf numFmtId="0" fontId="6" fillId="5" borderId="13" xfId="0" applyFont="1" applyFill="1" applyBorder="1" applyAlignment="1" applyProtection="1">
      <alignment horizontal="center"/>
      <protection locked="0"/>
    </xf>
    <xf numFmtId="0" fontId="6" fillId="5" borderId="14" xfId="0" applyFont="1" applyFill="1" applyBorder="1" applyAlignment="1" applyProtection="1">
      <alignment horizontal="center"/>
      <protection locked="0"/>
    </xf>
    <xf numFmtId="0" fontId="6" fillId="5" borderId="15" xfId="0" applyFont="1" applyFill="1" applyBorder="1" applyAlignment="1" applyProtection="1">
      <alignment horizontal="center"/>
      <protection locked="0"/>
    </xf>
    <xf numFmtId="0" fontId="8" fillId="12" borderId="13" xfId="0" applyFont="1" applyFill="1" applyBorder="1" applyAlignment="1" applyProtection="1">
      <alignment horizontal="center" vertical="center" wrapText="1"/>
      <protection locked="0"/>
    </xf>
    <xf numFmtId="0" fontId="8" fillId="12" borderId="14" xfId="0" applyFont="1" applyFill="1" applyBorder="1" applyAlignment="1" applyProtection="1">
      <alignment horizontal="center" vertical="center" wrapText="1"/>
      <protection locked="0"/>
    </xf>
    <xf numFmtId="0" fontId="8" fillId="12" borderId="15" xfId="0" applyFont="1" applyFill="1" applyBorder="1" applyAlignment="1" applyProtection="1">
      <alignment horizontal="center" vertical="center" wrapText="1"/>
      <protection locked="0"/>
    </xf>
    <xf numFmtId="0" fontId="5" fillId="0" borderId="68" xfId="0" applyFont="1" applyBorder="1" applyAlignment="1" applyProtection="1">
      <alignment horizontal="center" vertical="center"/>
      <protection hidden="1"/>
    </xf>
    <xf numFmtId="0" fontId="5" fillId="0" borderId="69" xfId="0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/>
      <protection hidden="1"/>
    </xf>
    <xf numFmtId="0" fontId="5" fillId="5" borderId="17" xfId="0" applyFont="1" applyFill="1" applyBorder="1" applyAlignment="1" applyProtection="1">
      <alignment horizontal="center"/>
      <protection locked="0"/>
    </xf>
    <xf numFmtId="0" fontId="5" fillId="5" borderId="5" xfId="0" applyFont="1" applyFill="1" applyBorder="1" applyAlignment="1" applyProtection="1">
      <alignment horizont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5" fillId="0" borderId="51" xfId="0" applyFont="1" applyBorder="1" applyAlignment="1" applyProtection="1">
      <alignment horizontal="center" vertical="center"/>
      <protection locked="0"/>
    </xf>
    <xf numFmtId="0" fontId="5" fillId="9" borderId="22" xfId="0" applyFont="1" applyFill="1" applyBorder="1" applyAlignment="1" applyProtection="1">
      <alignment horizontal="center" wrapText="1"/>
      <protection locked="0"/>
    </xf>
    <xf numFmtId="0" fontId="5" fillId="9" borderId="24" xfId="0" applyFont="1" applyFill="1" applyBorder="1" applyAlignment="1" applyProtection="1">
      <alignment horizontal="center" wrapText="1"/>
      <protection locked="0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28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7" borderId="17" xfId="0" applyFont="1" applyFill="1" applyBorder="1" applyAlignment="1" applyProtection="1">
      <alignment horizontal="center"/>
      <protection locked="0"/>
    </xf>
    <xf numFmtId="0" fontId="5" fillId="7" borderId="5" xfId="0" applyFont="1" applyFill="1" applyBorder="1" applyAlignment="1" applyProtection="1">
      <alignment horizontal="center"/>
      <protection locked="0"/>
    </xf>
    <xf numFmtId="0" fontId="6" fillId="10" borderId="22" xfId="0" applyFont="1" applyFill="1" applyBorder="1" applyAlignment="1" applyProtection="1">
      <alignment horizontal="center" vertical="center"/>
      <protection locked="0"/>
    </xf>
    <xf numFmtId="0" fontId="6" fillId="10" borderId="28" xfId="0" applyFont="1" applyFill="1" applyBorder="1" applyAlignment="1" applyProtection="1">
      <alignment horizontal="center" vertical="center"/>
      <protection locked="0"/>
    </xf>
    <xf numFmtId="0" fontId="9" fillId="5" borderId="48" xfId="0" applyFont="1" applyFill="1" applyBorder="1" applyAlignment="1" applyProtection="1">
      <alignment horizontal="center" vertical="center"/>
      <protection locked="0"/>
    </xf>
    <xf numFmtId="0" fontId="9" fillId="5" borderId="29" xfId="0" applyFont="1" applyFill="1" applyBorder="1" applyAlignment="1" applyProtection="1">
      <alignment horizontal="center" vertical="center"/>
      <protection locked="0"/>
    </xf>
    <xf numFmtId="0" fontId="9" fillId="5" borderId="40" xfId="0" applyFont="1" applyFill="1" applyBorder="1" applyAlignment="1" applyProtection="1">
      <alignment horizontal="center" vertical="center"/>
      <protection locked="0"/>
    </xf>
    <xf numFmtId="0" fontId="7" fillId="10" borderId="25" xfId="0" applyFont="1" applyFill="1" applyBorder="1" applyAlignment="1" applyProtection="1">
      <alignment horizontal="center" vertical="center" textRotation="90" wrapText="1"/>
      <protection locked="0"/>
    </xf>
    <xf numFmtId="0" fontId="7" fillId="10" borderId="26" xfId="0" applyFont="1" applyFill="1" applyBorder="1" applyAlignment="1" applyProtection="1">
      <alignment horizontal="center" vertical="center" textRotation="90" wrapText="1"/>
      <protection locked="0"/>
    </xf>
    <xf numFmtId="0" fontId="7" fillId="10" borderId="27" xfId="0" applyFont="1" applyFill="1" applyBorder="1" applyAlignment="1" applyProtection="1">
      <alignment horizontal="center" vertical="center" textRotation="90" wrapText="1"/>
      <protection locked="0"/>
    </xf>
    <xf numFmtId="0" fontId="5" fillId="2" borderId="25" xfId="0" applyFont="1" applyFill="1" applyBorder="1" applyAlignment="1" applyProtection="1">
      <alignment horizontal="center" vertical="center" textRotation="90" wrapText="1"/>
      <protection locked="0"/>
    </xf>
    <xf numFmtId="0" fontId="5" fillId="2" borderId="27" xfId="0" applyFont="1" applyFill="1" applyBorder="1" applyAlignment="1" applyProtection="1">
      <alignment horizontal="center" vertical="center" textRotation="90" wrapText="1"/>
      <protection locked="0"/>
    </xf>
    <xf numFmtId="0" fontId="5" fillId="13" borderId="35" xfId="0" applyFont="1" applyFill="1" applyBorder="1" applyAlignment="1" applyProtection="1">
      <alignment horizontal="center" vertical="center" textRotation="90" wrapText="1"/>
      <protection locked="0"/>
    </xf>
    <xf numFmtId="0" fontId="5" fillId="13" borderId="36" xfId="0" applyFont="1" applyFill="1" applyBorder="1" applyAlignment="1" applyProtection="1">
      <alignment horizontal="center" vertical="center" textRotation="90" wrapText="1"/>
      <protection locked="0"/>
    </xf>
    <xf numFmtId="0" fontId="5" fillId="3" borderId="50" xfId="0" applyFont="1" applyFill="1" applyBorder="1" applyAlignment="1" applyProtection="1">
      <alignment horizontal="center" vertical="center" textRotation="90" wrapText="1"/>
      <protection locked="0"/>
    </xf>
    <xf numFmtId="0" fontId="5" fillId="3" borderId="39" xfId="0" applyFont="1" applyFill="1" applyBorder="1" applyAlignment="1" applyProtection="1">
      <alignment horizontal="center" vertical="center" textRotation="90" wrapText="1"/>
      <protection locked="0"/>
    </xf>
    <xf numFmtId="0" fontId="2" fillId="10" borderId="13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4" fillId="10" borderId="15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8" fillId="12" borderId="40" xfId="0" applyFont="1" applyFill="1" applyBorder="1" applyAlignment="1" applyProtection="1">
      <alignment horizontal="center" vertical="center" wrapText="1"/>
      <protection locked="0"/>
    </xf>
    <xf numFmtId="0" fontId="7" fillId="10" borderId="29" xfId="0" applyFont="1" applyFill="1" applyBorder="1" applyAlignment="1" applyProtection="1">
      <alignment horizontal="center" vertical="center" wrapText="1"/>
      <protection locked="0"/>
    </xf>
    <xf numFmtId="0" fontId="7" fillId="10" borderId="40" xfId="0" applyFont="1" applyFill="1" applyBorder="1" applyAlignment="1" applyProtection="1">
      <alignment horizontal="center" vertical="center" wrapText="1"/>
      <protection locked="0"/>
    </xf>
    <xf numFmtId="0" fontId="7" fillId="10" borderId="44" xfId="0" applyFont="1" applyFill="1" applyBorder="1" applyAlignment="1" applyProtection="1">
      <alignment horizontal="center" vertical="center" textRotation="90" wrapText="1"/>
      <protection locked="0"/>
    </xf>
    <xf numFmtId="0" fontId="7" fillId="10" borderId="45" xfId="0" applyFont="1" applyFill="1" applyBorder="1" applyAlignment="1" applyProtection="1">
      <alignment horizontal="center" vertical="center" textRotation="90" wrapText="1"/>
      <protection locked="0"/>
    </xf>
    <xf numFmtId="0" fontId="8" fillId="12" borderId="25" xfId="0" applyFont="1" applyFill="1" applyBorder="1" applyAlignment="1" applyProtection="1">
      <alignment horizontal="center" vertical="center" textRotation="90" wrapText="1"/>
      <protection locked="0"/>
    </xf>
    <xf numFmtId="0" fontId="8" fillId="12" borderId="27" xfId="0" applyFont="1" applyFill="1" applyBorder="1" applyAlignment="1" applyProtection="1">
      <alignment horizontal="center" vertical="center" textRotation="90" wrapText="1"/>
      <protection locked="0"/>
    </xf>
    <xf numFmtId="0" fontId="8" fillId="12" borderId="50" xfId="0" applyFont="1" applyFill="1" applyBorder="1" applyAlignment="1" applyProtection="1">
      <alignment horizontal="center" vertical="center" textRotation="90" wrapText="1"/>
      <protection locked="0"/>
    </xf>
    <xf numFmtId="0" fontId="8" fillId="12" borderId="39" xfId="0" applyFont="1" applyFill="1" applyBorder="1" applyAlignment="1" applyProtection="1">
      <alignment horizontal="center" vertical="center" textRotation="90" wrapText="1"/>
      <protection locked="0"/>
    </xf>
    <xf numFmtId="0" fontId="8" fillId="12" borderId="50" xfId="0" applyFont="1" applyFill="1" applyBorder="1" applyAlignment="1" applyProtection="1">
      <alignment horizontal="center" vertical="center" wrapText="1"/>
      <protection locked="0"/>
    </xf>
    <xf numFmtId="0" fontId="8" fillId="12" borderId="0" xfId="0" applyFont="1" applyFill="1" applyAlignment="1" applyProtection="1">
      <alignment horizontal="center" vertical="center" wrapText="1"/>
      <protection locked="0"/>
    </xf>
    <xf numFmtId="0" fontId="8" fillId="12" borderId="39" xfId="0" applyFont="1" applyFill="1" applyBorder="1" applyAlignment="1" applyProtection="1">
      <alignment horizontal="center" vertical="center" wrapText="1"/>
      <protection locked="0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5" fillId="8" borderId="53" xfId="0" applyFont="1" applyFill="1" applyBorder="1" applyAlignment="1" applyProtection="1">
      <alignment horizontal="center"/>
      <protection locked="0"/>
    </xf>
    <xf numFmtId="0" fontId="5" fillId="8" borderId="6" xfId="0" applyFont="1" applyFill="1" applyBorder="1" applyAlignment="1" applyProtection="1">
      <alignment horizontal="center"/>
      <protection locked="0"/>
    </xf>
    <xf numFmtId="0" fontId="5" fillId="0" borderId="24" xfId="0" applyFont="1" applyBorder="1" applyAlignment="1" applyProtection="1">
      <alignment horizontal="center"/>
      <protection locked="0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8" fillId="12" borderId="51" xfId="0" applyFont="1" applyFill="1" applyBorder="1" applyAlignment="1" applyProtection="1">
      <alignment horizontal="center" vertical="center" wrapText="1"/>
      <protection locked="0"/>
    </xf>
    <xf numFmtId="0" fontId="5" fillId="2" borderId="44" xfId="0" applyFont="1" applyFill="1" applyBorder="1" applyAlignment="1" applyProtection="1">
      <alignment horizontal="center" vertical="center" textRotation="90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7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FF79"/>
      <color rgb="FFFFC5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"/>
  <sheetViews>
    <sheetView zoomScale="50" zoomScaleNormal="50" workbookViewId="0">
      <selection activeCell="Y11" sqref="Y11"/>
    </sheetView>
  </sheetViews>
  <sheetFormatPr baseColWidth="10" defaultRowHeight="14.4" x14ac:dyDescent="0.3"/>
  <cols>
    <col min="1" max="1" width="6.44140625" customWidth="1"/>
    <col min="2" max="2" width="44" customWidth="1"/>
    <col min="3" max="20" width="12.6640625" customWidth="1"/>
    <col min="21" max="24" width="10.6640625" customWidth="1"/>
    <col min="25" max="26" width="22.33203125" customWidth="1"/>
    <col min="27" max="27" width="21" customWidth="1"/>
    <col min="29" max="29" width="17.5546875" customWidth="1"/>
  </cols>
  <sheetData>
    <row r="1" spans="1:31" ht="33.6" thickBot="1" x14ac:dyDescent="0.65">
      <c r="A1" s="129" t="s">
        <v>70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1"/>
      <c r="AB1" s="1"/>
      <c r="AC1" s="1"/>
      <c r="AD1" s="1"/>
      <c r="AE1" s="1"/>
    </row>
    <row r="2" spans="1:31" ht="16.2" thickBo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"/>
      <c r="AC2" s="1"/>
      <c r="AD2" s="1"/>
      <c r="AE2" s="1"/>
    </row>
    <row r="3" spans="1:31" ht="21.6" thickBot="1" x14ac:dyDescent="0.45">
      <c r="A3" s="132" t="s">
        <v>0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6"/>
      <c r="AB3" s="1"/>
      <c r="AC3" s="1"/>
      <c r="AD3" s="1"/>
      <c r="AE3" s="1"/>
    </row>
    <row r="4" spans="1:31" ht="16.2" thickBot="1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"/>
      <c r="AC4" s="1"/>
      <c r="AD4" s="1"/>
      <c r="AE4" s="1"/>
    </row>
    <row r="5" spans="1:31" ht="52.5" customHeight="1" thickBot="1" x14ac:dyDescent="0.35">
      <c r="A5" s="137" t="s">
        <v>1</v>
      </c>
      <c r="B5" s="17" t="s">
        <v>2</v>
      </c>
      <c r="C5" s="173" t="s">
        <v>50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5"/>
      <c r="P5" s="139" t="s">
        <v>64</v>
      </c>
      <c r="Q5" s="140"/>
      <c r="R5" s="140"/>
      <c r="S5" s="140"/>
      <c r="T5" s="140"/>
      <c r="U5" s="141" t="s">
        <v>3</v>
      </c>
      <c r="V5" s="142"/>
      <c r="W5" s="143"/>
      <c r="X5" s="144"/>
      <c r="Y5" s="145" t="s">
        <v>2</v>
      </c>
      <c r="Z5" s="146"/>
      <c r="AA5" s="196" t="s">
        <v>4</v>
      </c>
      <c r="AB5" s="1"/>
      <c r="AC5" s="1"/>
      <c r="AD5" s="1"/>
      <c r="AE5" s="1"/>
    </row>
    <row r="6" spans="1:31" ht="151.5" customHeight="1" thickBot="1" x14ac:dyDescent="0.35">
      <c r="A6" s="138"/>
      <c r="B6" s="18" t="s">
        <v>5</v>
      </c>
      <c r="C6" s="19" t="s">
        <v>47</v>
      </c>
      <c r="D6" s="19" t="s">
        <v>47</v>
      </c>
      <c r="E6" s="19" t="s">
        <v>48</v>
      </c>
      <c r="F6" s="19" t="s">
        <v>47</v>
      </c>
      <c r="G6" s="19" t="s">
        <v>47</v>
      </c>
      <c r="H6" s="19" t="s">
        <v>47</v>
      </c>
      <c r="I6" s="19" t="s">
        <v>48</v>
      </c>
      <c r="J6" s="19" t="s">
        <v>48</v>
      </c>
      <c r="K6" s="19" t="s">
        <v>46</v>
      </c>
      <c r="L6" s="19" t="s">
        <v>46</v>
      </c>
      <c r="M6" s="19" t="s">
        <v>48</v>
      </c>
      <c r="N6" s="19" t="s">
        <v>47</v>
      </c>
      <c r="O6" s="19" t="s">
        <v>48</v>
      </c>
      <c r="P6" s="20" t="s">
        <v>61</v>
      </c>
      <c r="Q6" s="21" t="s">
        <v>59</v>
      </c>
      <c r="R6" s="21" t="s">
        <v>61</v>
      </c>
      <c r="S6" s="21" t="s">
        <v>59</v>
      </c>
      <c r="T6" s="21" t="s">
        <v>61</v>
      </c>
      <c r="U6" s="199" t="s">
        <v>6</v>
      </c>
      <c r="V6" s="201" t="s">
        <v>68</v>
      </c>
      <c r="W6" s="203" t="s">
        <v>7</v>
      </c>
      <c r="X6" s="125" t="s">
        <v>8</v>
      </c>
      <c r="Y6" s="127" t="s">
        <v>50</v>
      </c>
      <c r="Z6" s="127" t="s">
        <v>64</v>
      </c>
      <c r="AA6" s="197"/>
      <c r="AB6" s="1"/>
      <c r="AC6" s="1"/>
      <c r="AD6" s="1"/>
      <c r="AE6" s="1"/>
    </row>
    <row r="7" spans="1:31" ht="24" customHeight="1" thickBot="1" x14ac:dyDescent="0.35">
      <c r="A7" s="138"/>
      <c r="B7" s="22" t="s">
        <v>9</v>
      </c>
      <c r="C7" s="23" t="s">
        <v>10</v>
      </c>
      <c r="D7" s="24" t="s">
        <v>11</v>
      </c>
      <c r="E7" s="24" t="s">
        <v>12</v>
      </c>
      <c r="F7" s="24" t="s">
        <v>13</v>
      </c>
      <c r="G7" s="24" t="s">
        <v>14</v>
      </c>
      <c r="H7" s="24" t="s">
        <v>15</v>
      </c>
      <c r="I7" s="24" t="s">
        <v>16</v>
      </c>
      <c r="J7" s="24" t="s">
        <v>17</v>
      </c>
      <c r="K7" s="24" t="s">
        <v>18</v>
      </c>
      <c r="L7" s="25" t="s">
        <v>19</v>
      </c>
      <c r="M7" s="24" t="s">
        <v>20</v>
      </c>
      <c r="N7" s="24" t="s">
        <v>21</v>
      </c>
      <c r="O7" s="26" t="s">
        <v>22</v>
      </c>
      <c r="P7" s="23" t="s">
        <v>23</v>
      </c>
      <c r="Q7" s="24" t="s">
        <v>24</v>
      </c>
      <c r="R7" s="24" t="s">
        <v>25</v>
      </c>
      <c r="S7" s="24" t="s">
        <v>26</v>
      </c>
      <c r="T7" s="24" t="s">
        <v>27</v>
      </c>
      <c r="U7" s="200"/>
      <c r="V7" s="202"/>
      <c r="W7" s="204"/>
      <c r="X7" s="126"/>
      <c r="Y7" s="128"/>
      <c r="Z7" s="128"/>
      <c r="AA7" s="198"/>
      <c r="AB7" s="1"/>
      <c r="AC7" s="1"/>
      <c r="AD7" s="1"/>
      <c r="AE7" s="1"/>
    </row>
    <row r="8" spans="1:31" ht="20.100000000000001" customHeight="1" x14ac:dyDescent="0.3">
      <c r="A8" s="27">
        <v>1</v>
      </c>
      <c r="B8" s="28"/>
      <c r="C8" s="29">
        <v>3</v>
      </c>
      <c r="D8" s="30">
        <v>3</v>
      </c>
      <c r="E8" s="30">
        <v>3</v>
      </c>
      <c r="F8" s="30">
        <v>3</v>
      </c>
      <c r="G8" s="30">
        <v>3</v>
      </c>
      <c r="H8" s="30">
        <v>3</v>
      </c>
      <c r="I8" s="30">
        <v>3</v>
      </c>
      <c r="J8" s="30">
        <v>3</v>
      </c>
      <c r="K8" s="30">
        <v>3</v>
      </c>
      <c r="L8" s="31">
        <v>3</v>
      </c>
      <c r="M8" s="30">
        <v>0</v>
      </c>
      <c r="N8" s="30">
        <v>0</v>
      </c>
      <c r="O8" s="30">
        <v>0</v>
      </c>
      <c r="P8" s="29">
        <v>3</v>
      </c>
      <c r="Q8" s="30">
        <v>3</v>
      </c>
      <c r="R8" s="30">
        <v>3</v>
      </c>
      <c r="S8" s="30">
        <v>3</v>
      </c>
      <c r="T8" s="30">
        <v>3</v>
      </c>
      <c r="U8" s="62">
        <f>COUNTIF(C8:T8,3)</f>
        <v>15</v>
      </c>
      <c r="V8" s="63">
        <f t="shared" ref="V8:V47" si="0">COUNTIF(C8:T8,2)</f>
        <v>0</v>
      </c>
      <c r="W8" s="64">
        <f t="shared" ref="W8:W47" si="1">COUNTIF(C8:T8,1)</f>
        <v>0</v>
      </c>
      <c r="X8" s="63">
        <f t="shared" ref="X8:X47" si="2">COUNTIF(C8:T8,0)</f>
        <v>3</v>
      </c>
      <c r="Y8" s="65" t="str">
        <f>IF(COUNTA(C8:O8)=0,"",
IF(COUNTIF(C8:O8,3)&lt;=5,"Inicio",
IF(COUNTIF(C8:O8,3)&lt;=9,"Proceso",
IF(COUNTIF(C8:O8,3)&lt;=13,"Logrado",""))))</f>
        <v>Logrado</v>
      </c>
      <c r="Z8" s="63" t="str">
        <f>IF(COUNTA(P8:T8)=0,"",
IF(COUNTIF(P8:T8,3)&lt;=2,"Inicio",
IF(COUNTIF(P8:T8,3)&lt;=4,"Proceso",
IF(COUNTIF(P8:T8,3)=5,"Logrado",""))))</f>
        <v>Logrado</v>
      </c>
      <c r="AA8" s="69" t="str">
        <f>IF(COUNTA(C8:T8)=0,"",
   IF(COUNTIF(C8:T8,3)&lt;=6,"Inicio",
      IF(COUNTIF(C8:T8,3)&lt;=12,"Proceso",
         IF(COUNTIF(C8:T8,3)&lt;=18,"Logrado",""))))</f>
        <v>Logrado</v>
      </c>
      <c r="AB8" s="1"/>
      <c r="AC8" s="1"/>
      <c r="AD8" s="1"/>
      <c r="AE8" s="1"/>
    </row>
    <row r="9" spans="1:31" ht="20.100000000000001" customHeight="1" x14ac:dyDescent="0.3">
      <c r="A9" s="33">
        <v>2</v>
      </c>
      <c r="B9" s="34"/>
      <c r="C9" s="35"/>
      <c r="D9" s="36"/>
      <c r="E9" s="36"/>
      <c r="F9" s="36"/>
      <c r="G9" s="36"/>
      <c r="H9" s="36"/>
      <c r="I9" s="36"/>
      <c r="J9" s="36"/>
      <c r="K9" s="36"/>
      <c r="L9" s="37"/>
      <c r="M9" s="36">
        <v>3</v>
      </c>
      <c r="N9" s="36">
        <v>3</v>
      </c>
      <c r="O9" s="36">
        <v>3</v>
      </c>
      <c r="P9" s="35">
        <v>3</v>
      </c>
      <c r="Q9" s="36">
        <v>3</v>
      </c>
      <c r="R9" s="36">
        <v>0</v>
      </c>
      <c r="S9" s="36">
        <v>2</v>
      </c>
      <c r="T9" s="36">
        <v>3</v>
      </c>
      <c r="U9" s="66">
        <f t="shared" ref="U9:U47" si="3">COUNTIF(C9:T9,3)</f>
        <v>6</v>
      </c>
      <c r="V9" s="66">
        <f t="shared" si="0"/>
        <v>1</v>
      </c>
      <c r="W9" s="67">
        <f t="shared" si="1"/>
        <v>0</v>
      </c>
      <c r="X9" s="66">
        <f t="shared" si="2"/>
        <v>1</v>
      </c>
      <c r="Y9" s="65" t="str">
        <f t="shared" ref="Y9:Y47" si="4">IF(COUNTA(C9:O9)=0,"",
IF(COUNTIF(C9:O9,3)&lt;=5,"Inicio",
IF(COUNTIF(C9:O9,3)&lt;=9,"Proceso",
IF(COUNTIF(C9:O9,3)&lt;=13,"Logrado",""))))</f>
        <v>Inicio</v>
      </c>
      <c r="Z9" s="63" t="str">
        <f t="shared" ref="Z9:Z47" si="5">IF(COUNTA(P9:T9)=0,"",
IF(COUNTIF(P9:T9,3)&lt;=2,"Inicio",
IF(COUNTIF(P9:T9,3)&lt;=4,"Proceso",
IF(COUNTIF(P9:T9,3)=5,"Logrado",""))))</f>
        <v>Proceso</v>
      </c>
      <c r="AA9" s="70" t="str">
        <f t="shared" ref="AA9:AA47" si="6">IF(COUNTA(C9:T9)=0,"",
   IF(COUNTIF(C9:T9,3)&lt;=6,"Inicio",
      IF(COUNTIF(C9:T9,3)&lt;=12,"Proceso",
         IF(COUNTIF(C9:T9,3)&lt;=18,"Logrado",""))))</f>
        <v>Inicio</v>
      </c>
      <c r="AB9" s="1"/>
      <c r="AC9" s="1"/>
      <c r="AD9" s="1"/>
      <c r="AE9" s="1"/>
    </row>
    <row r="10" spans="1:31" ht="20.100000000000001" customHeight="1" x14ac:dyDescent="0.3">
      <c r="A10" s="27">
        <v>3</v>
      </c>
      <c r="B10" s="38"/>
      <c r="C10" s="39"/>
      <c r="D10" s="40"/>
      <c r="E10" s="40"/>
      <c r="F10" s="40"/>
      <c r="G10" s="40"/>
      <c r="H10" s="40"/>
      <c r="I10" s="40"/>
      <c r="J10" s="40"/>
      <c r="K10" s="40"/>
      <c r="L10" s="41"/>
      <c r="M10" s="40">
        <v>3</v>
      </c>
      <c r="N10" s="40">
        <v>3</v>
      </c>
      <c r="O10" s="40">
        <v>3</v>
      </c>
      <c r="P10" s="39">
        <v>3</v>
      </c>
      <c r="Q10" s="40">
        <v>2</v>
      </c>
      <c r="R10" s="40">
        <v>1</v>
      </c>
      <c r="S10" s="40">
        <v>3</v>
      </c>
      <c r="T10" s="40"/>
      <c r="U10" s="62">
        <f t="shared" si="3"/>
        <v>5</v>
      </c>
      <c r="V10" s="62">
        <f t="shared" si="0"/>
        <v>1</v>
      </c>
      <c r="W10" s="68">
        <f t="shared" si="1"/>
        <v>1</v>
      </c>
      <c r="X10" s="62">
        <f t="shared" si="2"/>
        <v>0</v>
      </c>
      <c r="Y10" s="65" t="str">
        <f t="shared" si="4"/>
        <v>Inicio</v>
      </c>
      <c r="Z10" s="63" t="str">
        <f t="shared" si="5"/>
        <v>Inicio</v>
      </c>
      <c r="AA10" s="70" t="str">
        <f t="shared" si="6"/>
        <v>Inicio</v>
      </c>
      <c r="AB10" s="1"/>
      <c r="AC10" s="1"/>
      <c r="AD10" s="1"/>
      <c r="AE10" s="1"/>
    </row>
    <row r="11" spans="1:31" ht="20.100000000000001" customHeight="1" x14ac:dyDescent="0.3">
      <c r="A11" s="33">
        <v>4</v>
      </c>
      <c r="B11" s="34"/>
      <c r="C11" s="35"/>
      <c r="D11" s="36"/>
      <c r="E11" s="36"/>
      <c r="F11" s="36"/>
      <c r="G11" s="36"/>
      <c r="H11" s="36"/>
      <c r="I11" s="36"/>
      <c r="J11" s="36"/>
      <c r="K11" s="36"/>
      <c r="L11" s="37"/>
      <c r="M11" s="36"/>
      <c r="N11" s="36"/>
      <c r="O11" s="36"/>
      <c r="P11" s="35">
        <v>3</v>
      </c>
      <c r="Q11" s="36">
        <v>3</v>
      </c>
      <c r="R11" s="36">
        <v>3</v>
      </c>
      <c r="S11" s="36">
        <v>3</v>
      </c>
      <c r="T11" s="36">
        <v>3</v>
      </c>
      <c r="U11" s="66">
        <f t="shared" si="3"/>
        <v>5</v>
      </c>
      <c r="V11" s="66">
        <f t="shared" si="0"/>
        <v>0</v>
      </c>
      <c r="W11" s="67">
        <f t="shared" si="1"/>
        <v>0</v>
      </c>
      <c r="X11" s="66">
        <f t="shared" si="2"/>
        <v>0</v>
      </c>
      <c r="Y11" s="65" t="str">
        <f t="shared" si="4"/>
        <v/>
      </c>
      <c r="Z11" s="63" t="str">
        <f t="shared" si="5"/>
        <v>Logrado</v>
      </c>
      <c r="AA11" s="70" t="str">
        <f t="shared" si="6"/>
        <v>Inicio</v>
      </c>
      <c r="AB11" s="1"/>
      <c r="AC11" s="1"/>
      <c r="AD11" s="1"/>
      <c r="AE11" s="1"/>
    </row>
    <row r="12" spans="1:31" ht="20.100000000000001" customHeight="1" x14ac:dyDescent="0.3">
      <c r="A12" s="27">
        <v>5</v>
      </c>
      <c r="B12" s="38"/>
      <c r="C12" s="39"/>
      <c r="D12" s="40"/>
      <c r="E12" s="40"/>
      <c r="F12" s="40"/>
      <c r="G12" s="40"/>
      <c r="H12" s="40"/>
      <c r="I12" s="40"/>
      <c r="J12" s="40"/>
      <c r="K12" s="40"/>
      <c r="L12" s="41"/>
      <c r="M12" s="40"/>
      <c r="N12" s="40"/>
      <c r="O12" s="40"/>
      <c r="P12" s="39"/>
      <c r="Q12" s="40"/>
      <c r="R12" s="40"/>
      <c r="S12" s="40"/>
      <c r="T12" s="40"/>
      <c r="U12" s="62">
        <f t="shared" si="3"/>
        <v>0</v>
      </c>
      <c r="V12" s="62">
        <f t="shared" si="0"/>
        <v>0</v>
      </c>
      <c r="W12" s="68">
        <f t="shared" si="1"/>
        <v>0</v>
      </c>
      <c r="X12" s="62">
        <f t="shared" si="2"/>
        <v>0</v>
      </c>
      <c r="Y12" s="32"/>
      <c r="Z12" s="63" t="str">
        <f t="shared" si="5"/>
        <v/>
      </c>
      <c r="AA12" s="70" t="str">
        <f t="shared" si="6"/>
        <v/>
      </c>
      <c r="AB12" s="1"/>
      <c r="AC12" s="1"/>
      <c r="AD12" s="1"/>
      <c r="AE12" s="1"/>
    </row>
    <row r="13" spans="1:31" ht="20.100000000000001" customHeight="1" x14ac:dyDescent="0.3">
      <c r="A13" s="33">
        <v>6</v>
      </c>
      <c r="B13" s="34"/>
      <c r="C13" s="35"/>
      <c r="D13" s="36"/>
      <c r="E13" s="36"/>
      <c r="F13" s="36"/>
      <c r="G13" s="36"/>
      <c r="H13" s="36"/>
      <c r="I13" s="36"/>
      <c r="J13" s="36"/>
      <c r="K13" s="36"/>
      <c r="L13" s="37"/>
      <c r="M13" s="36"/>
      <c r="N13" s="36"/>
      <c r="O13" s="36"/>
      <c r="P13" s="35"/>
      <c r="Q13" s="36"/>
      <c r="R13" s="36">
        <v>2</v>
      </c>
      <c r="S13" s="36">
        <v>3</v>
      </c>
      <c r="T13" s="36"/>
      <c r="U13" s="66">
        <f t="shared" si="3"/>
        <v>1</v>
      </c>
      <c r="V13" s="66">
        <f t="shared" si="0"/>
        <v>1</v>
      </c>
      <c r="W13" s="67">
        <f t="shared" si="1"/>
        <v>0</v>
      </c>
      <c r="X13" s="66">
        <f t="shared" si="2"/>
        <v>0</v>
      </c>
      <c r="Y13" s="65" t="str">
        <f t="shared" si="4"/>
        <v/>
      </c>
      <c r="Z13" s="63" t="str">
        <f t="shared" si="5"/>
        <v>Inicio</v>
      </c>
      <c r="AA13" s="70" t="str">
        <f t="shared" si="6"/>
        <v>Inicio</v>
      </c>
      <c r="AB13" s="1"/>
      <c r="AC13" s="1"/>
      <c r="AD13" s="1"/>
      <c r="AE13" s="1"/>
    </row>
    <row r="14" spans="1:31" ht="20.100000000000001" customHeight="1" x14ac:dyDescent="0.3">
      <c r="A14" s="27">
        <v>7</v>
      </c>
      <c r="B14" s="38"/>
      <c r="C14" s="39"/>
      <c r="D14" s="40"/>
      <c r="E14" s="40"/>
      <c r="F14" s="40"/>
      <c r="G14" s="40"/>
      <c r="H14" s="40"/>
      <c r="I14" s="40"/>
      <c r="J14" s="40"/>
      <c r="K14" s="40"/>
      <c r="L14" s="41"/>
      <c r="M14" s="40"/>
      <c r="N14" s="40"/>
      <c r="O14" s="40"/>
      <c r="P14" s="39"/>
      <c r="Q14" s="40"/>
      <c r="R14" s="40"/>
      <c r="S14" s="40"/>
      <c r="T14" s="40"/>
      <c r="U14" s="62">
        <f t="shared" si="3"/>
        <v>0</v>
      </c>
      <c r="V14" s="62">
        <f t="shared" si="0"/>
        <v>0</v>
      </c>
      <c r="W14" s="68">
        <f t="shared" si="1"/>
        <v>0</v>
      </c>
      <c r="X14" s="62">
        <f t="shared" si="2"/>
        <v>0</v>
      </c>
      <c r="Y14" s="65" t="str">
        <f t="shared" si="4"/>
        <v/>
      </c>
      <c r="Z14" s="63" t="str">
        <f t="shared" si="5"/>
        <v/>
      </c>
      <c r="AA14" s="70" t="str">
        <f t="shared" si="6"/>
        <v/>
      </c>
      <c r="AB14" s="1"/>
      <c r="AC14" s="1"/>
      <c r="AD14" s="1"/>
      <c r="AE14" s="1"/>
    </row>
    <row r="15" spans="1:31" ht="20.100000000000001" customHeight="1" x14ac:dyDescent="0.3">
      <c r="A15" s="33">
        <v>8</v>
      </c>
      <c r="B15" s="34"/>
      <c r="C15" s="35"/>
      <c r="D15" s="36"/>
      <c r="E15" s="36"/>
      <c r="F15" s="36"/>
      <c r="G15" s="36"/>
      <c r="H15" s="36"/>
      <c r="I15" s="36"/>
      <c r="J15" s="36"/>
      <c r="K15" s="36"/>
      <c r="L15" s="37"/>
      <c r="M15" s="36"/>
      <c r="N15" s="36"/>
      <c r="O15" s="36"/>
      <c r="P15" s="35"/>
      <c r="Q15" s="36"/>
      <c r="R15" s="36"/>
      <c r="S15" s="36"/>
      <c r="T15" s="36"/>
      <c r="U15" s="66">
        <f t="shared" si="3"/>
        <v>0</v>
      </c>
      <c r="V15" s="66">
        <f t="shared" si="0"/>
        <v>0</v>
      </c>
      <c r="W15" s="67">
        <f t="shared" si="1"/>
        <v>0</v>
      </c>
      <c r="X15" s="66">
        <f t="shared" si="2"/>
        <v>0</v>
      </c>
      <c r="Y15" s="65" t="str">
        <f t="shared" si="4"/>
        <v/>
      </c>
      <c r="Z15" s="63" t="str">
        <f t="shared" si="5"/>
        <v/>
      </c>
      <c r="AA15" s="70" t="str">
        <f t="shared" si="6"/>
        <v/>
      </c>
      <c r="AB15" s="1"/>
      <c r="AC15" s="1"/>
      <c r="AD15" s="1"/>
      <c r="AE15" s="1"/>
    </row>
    <row r="16" spans="1:31" ht="20.100000000000001" customHeight="1" x14ac:dyDescent="0.3">
      <c r="A16" s="27">
        <v>9</v>
      </c>
      <c r="B16" s="38"/>
      <c r="C16" s="39"/>
      <c r="D16" s="40"/>
      <c r="E16" s="40"/>
      <c r="F16" s="40"/>
      <c r="G16" s="40"/>
      <c r="H16" s="40"/>
      <c r="I16" s="40"/>
      <c r="J16" s="40"/>
      <c r="K16" s="40"/>
      <c r="L16" s="41"/>
      <c r="M16" s="40"/>
      <c r="N16" s="40"/>
      <c r="O16" s="40"/>
      <c r="P16" s="39"/>
      <c r="Q16" s="40"/>
      <c r="R16" s="40"/>
      <c r="S16" s="40"/>
      <c r="T16" s="40"/>
      <c r="U16" s="62">
        <f t="shared" si="3"/>
        <v>0</v>
      </c>
      <c r="V16" s="62">
        <f t="shared" si="0"/>
        <v>0</v>
      </c>
      <c r="W16" s="68">
        <f t="shared" si="1"/>
        <v>0</v>
      </c>
      <c r="X16" s="62">
        <f t="shared" si="2"/>
        <v>0</v>
      </c>
      <c r="Y16" s="65" t="str">
        <f t="shared" si="4"/>
        <v/>
      </c>
      <c r="Z16" s="63" t="str">
        <f t="shared" si="5"/>
        <v/>
      </c>
      <c r="AA16" s="70" t="str">
        <f t="shared" si="6"/>
        <v/>
      </c>
      <c r="AB16" s="1"/>
      <c r="AC16" s="1"/>
      <c r="AD16" s="1"/>
      <c r="AE16" s="1"/>
    </row>
    <row r="17" spans="1:31" ht="20.100000000000001" customHeight="1" x14ac:dyDescent="0.3">
      <c r="A17" s="33">
        <v>10</v>
      </c>
      <c r="B17" s="34"/>
      <c r="C17" s="35"/>
      <c r="D17" s="36"/>
      <c r="E17" s="36"/>
      <c r="F17" s="36"/>
      <c r="G17" s="36"/>
      <c r="H17" s="36"/>
      <c r="I17" s="36"/>
      <c r="J17" s="36"/>
      <c r="K17" s="36"/>
      <c r="L17" s="37"/>
      <c r="M17" s="36"/>
      <c r="N17" s="36"/>
      <c r="O17" s="36"/>
      <c r="P17" s="35"/>
      <c r="Q17" s="36"/>
      <c r="R17" s="36"/>
      <c r="S17" s="36"/>
      <c r="T17" s="36"/>
      <c r="U17" s="66">
        <f t="shared" si="3"/>
        <v>0</v>
      </c>
      <c r="V17" s="66">
        <f t="shared" si="0"/>
        <v>0</v>
      </c>
      <c r="W17" s="67">
        <f t="shared" si="1"/>
        <v>0</v>
      </c>
      <c r="X17" s="66">
        <f t="shared" si="2"/>
        <v>0</v>
      </c>
      <c r="Y17" s="65" t="str">
        <f t="shared" si="4"/>
        <v/>
      </c>
      <c r="Z17" s="63" t="str">
        <f t="shared" si="5"/>
        <v/>
      </c>
      <c r="AA17" s="70" t="str">
        <f t="shared" si="6"/>
        <v/>
      </c>
      <c r="AB17" s="1"/>
      <c r="AC17" s="1"/>
      <c r="AD17" s="1"/>
      <c r="AE17" s="1"/>
    </row>
    <row r="18" spans="1:31" ht="20.100000000000001" customHeight="1" x14ac:dyDescent="0.3">
      <c r="A18" s="27">
        <v>11</v>
      </c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41"/>
      <c r="M18" s="40"/>
      <c r="N18" s="40"/>
      <c r="O18" s="40"/>
      <c r="P18" s="39"/>
      <c r="Q18" s="40"/>
      <c r="R18" s="40"/>
      <c r="S18" s="40"/>
      <c r="T18" s="40"/>
      <c r="U18" s="62">
        <f t="shared" si="3"/>
        <v>0</v>
      </c>
      <c r="V18" s="62">
        <f t="shared" si="0"/>
        <v>0</v>
      </c>
      <c r="W18" s="68">
        <f t="shared" si="1"/>
        <v>0</v>
      </c>
      <c r="X18" s="62">
        <f t="shared" si="2"/>
        <v>0</v>
      </c>
      <c r="Y18" s="65" t="str">
        <f t="shared" si="4"/>
        <v/>
      </c>
      <c r="Z18" s="63" t="str">
        <f t="shared" si="5"/>
        <v/>
      </c>
      <c r="AA18" s="70" t="str">
        <f t="shared" si="6"/>
        <v/>
      </c>
      <c r="AB18" s="1"/>
      <c r="AC18" s="1"/>
      <c r="AD18" s="1"/>
      <c r="AE18" s="1"/>
    </row>
    <row r="19" spans="1:31" ht="20.100000000000001" customHeight="1" x14ac:dyDescent="0.3">
      <c r="A19" s="33">
        <v>12</v>
      </c>
      <c r="B19" s="34"/>
      <c r="C19" s="35"/>
      <c r="D19" s="36"/>
      <c r="E19" s="36"/>
      <c r="F19" s="36"/>
      <c r="G19" s="36"/>
      <c r="H19" s="36"/>
      <c r="I19" s="36"/>
      <c r="J19" s="36"/>
      <c r="K19" s="36"/>
      <c r="L19" s="37"/>
      <c r="M19" s="36"/>
      <c r="N19" s="36"/>
      <c r="O19" s="36"/>
      <c r="P19" s="35"/>
      <c r="Q19" s="36"/>
      <c r="R19" s="36"/>
      <c r="S19" s="36"/>
      <c r="T19" s="36"/>
      <c r="U19" s="66">
        <f t="shared" si="3"/>
        <v>0</v>
      </c>
      <c r="V19" s="66">
        <f t="shared" si="0"/>
        <v>0</v>
      </c>
      <c r="W19" s="67">
        <f t="shared" si="1"/>
        <v>0</v>
      </c>
      <c r="X19" s="66">
        <f t="shared" si="2"/>
        <v>0</v>
      </c>
      <c r="Y19" s="65" t="str">
        <f t="shared" si="4"/>
        <v/>
      </c>
      <c r="Z19" s="63" t="str">
        <f t="shared" si="5"/>
        <v/>
      </c>
      <c r="AA19" s="70" t="str">
        <f t="shared" si="6"/>
        <v/>
      </c>
      <c r="AB19" s="1"/>
      <c r="AC19" s="1"/>
      <c r="AD19" s="1"/>
      <c r="AE19" s="1"/>
    </row>
    <row r="20" spans="1:31" ht="20.100000000000001" customHeight="1" x14ac:dyDescent="0.3">
      <c r="A20" s="27">
        <v>13</v>
      </c>
      <c r="B20" s="38"/>
      <c r="C20" s="39"/>
      <c r="D20" s="40"/>
      <c r="E20" s="40"/>
      <c r="F20" s="40"/>
      <c r="G20" s="40"/>
      <c r="H20" s="40"/>
      <c r="I20" s="40"/>
      <c r="J20" s="40"/>
      <c r="K20" s="40"/>
      <c r="L20" s="41"/>
      <c r="M20" s="40"/>
      <c r="N20" s="40"/>
      <c r="O20" s="40"/>
      <c r="P20" s="39"/>
      <c r="Q20" s="40"/>
      <c r="R20" s="40"/>
      <c r="S20" s="40"/>
      <c r="T20" s="40"/>
      <c r="U20" s="62">
        <f t="shared" si="3"/>
        <v>0</v>
      </c>
      <c r="V20" s="62">
        <f t="shared" si="0"/>
        <v>0</v>
      </c>
      <c r="W20" s="68">
        <f t="shared" si="1"/>
        <v>0</v>
      </c>
      <c r="X20" s="62">
        <f t="shared" si="2"/>
        <v>0</v>
      </c>
      <c r="Y20" s="65" t="str">
        <f t="shared" si="4"/>
        <v/>
      </c>
      <c r="Z20" s="63" t="str">
        <f t="shared" si="5"/>
        <v/>
      </c>
      <c r="AA20" s="70" t="str">
        <f t="shared" si="6"/>
        <v/>
      </c>
      <c r="AB20" s="1"/>
      <c r="AC20" s="1"/>
      <c r="AD20" s="1"/>
      <c r="AE20" s="1"/>
    </row>
    <row r="21" spans="1:31" ht="20.100000000000001" customHeight="1" x14ac:dyDescent="0.3">
      <c r="A21" s="33">
        <v>14</v>
      </c>
      <c r="B21" s="34"/>
      <c r="C21" s="35"/>
      <c r="D21" s="36"/>
      <c r="E21" s="36"/>
      <c r="F21" s="36"/>
      <c r="G21" s="36"/>
      <c r="H21" s="36"/>
      <c r="I21" s="36"/>
      <c r="J21" s="36"/>
      <c r="K21" s="36"/>
      <c r="L21" s="37"/>
      <c r="M21" s="36"/>
      <c r="N21" s="36"/>
      <c r="O21" s="36"/>
      <c r="P21" s="35"/>
      <c r="Q21" s="36"/>
      <c r="R21" s="36"/>
      <c r="S21" s="36"/>
      <c r="T21" s="36"/>
      <c r="U21" s="66">
        <f t="shared" si="3"/>
        <v>0</v>
      </c>
      <c r="V21" s="66">
        <f t="shared" si="0"/>
        <v>0</v>
      </c>
      <c r="W21" s="67">
        <f t="shared" si="1"/>
        <v>0</v>
      </c>
      <c r="X21" s="66">
        <f t="shared" si="2"/>
        <v>0</v>
      </c>
      <c r="Y21" s="65" t="str">
        <f t="shared" si="4"/>
        <v/>
      </c>
      <c r="Z21" s="63" t="str">
        <f t="shared" si="5"/>
        <v/>
      </c>
      <c r="AA21" s="70" t="str">
        <f t="shared" si="6"/>
        <v/>
      </c>
      <c r="AB21" s="1"/>
      <c r="AC21" s="1"/>
      <c r="AD21" s="1"/>
      <c r="AE21" s="1"/>
    </row>
    <row r="22" spans="1:31" ht="20.100000000000001" customHeight="1" x14ac:dyDescent="0.3">
      <c r="A22" s="27">
        <v>15</v>
      </c>
      <c r="B22" s="38"/>
      <c r="C22" s="39"/>
      <c r="D22" s="40"/>
      <c r="E22" s="40"/>
      <c r="F22" s="40"/>
      <c r="G22" s="40"/>
      <c r="H22" s="40"/>
      <c r="I22" s="40"/>
      <c r="J22" s="40"/>
      <c r="K22" s="40"/>
      <c r="L22" s="41"/>
      <c r="M22" s="40"/>
      <c r="N22" s="40"/>
      <c r="O22" s="40"/>
      <c r="P22" s="39"/>
      <c r="Q22" s="40"/>
      <c r="R22" s="40"/>
      <c r="S22" s="40"/>
      <c r="T22" s="40"/>
      <c r="U22" s="62">
        <f t="shared" si="3"/>
        <v>0</v>
      </c>
      <c r="V22" s="62">
        <f t="shared" si="0"/>
        <v>0</v>
      </c>
      <c r="W22" s="68">
        <f t="shared" si="1"/>
        <v>0</v>
      </c>
      <c r="X22" s="62">
        <f t="shared" si="2"/>
        <v>0</v>
      </c>
      <c r="Y22" s="65" t="str">
        <f t="shared" si="4"/>
        <v/>
      </c>
      <c r="Z22" s="63" t="str">
        <f t="shared" si="5"/>
        <v/>
      </c>
      <c r="AA22" s="70" t="str">
        <f t="shared" si="6"/>
        <v/>
      </c>
      <c r="AB22" s="1"/>
      <c r="AC22" s="1"/>
      <c r="AD22" s="1"/>
      <c r="AE22" s="1"/>
    </row>
    <row r="23" spans="1:31" ht="20.100000000000001" customHeight="1" x14ac:dyDescent="0.3">
      <c r="A23" s="33">
        <v>16</v>
      </c>
      <c r="B23" s="34"/>
      <c r="C23" s="35"/>
      <c r="D23" s="36"/>
      <c r="E23" s="36"/>
      <c r="F23" s="36"/>
      <c r="G23" s="36"/>
      <c r="H23" s="36"/>
      <c r="I23" s="36"/>
      <c r="J23" s="36"/>
      <c r="K23" s="36"/>
      <c r="L23" s="37"/>
      <c r="M23" s="36"/>
      <c r="N23" s="36"/>
      <c r="O23" s="36"/>
      <c r="P23" s="35"/>
      <c r="Q23" s="36"/>
      <c r="R23" s="36"/>
      <c r="S23" s="36"/>
      <c r="T23" s="36"/>
      <c r="U23" s="66">
        <f t="shared" si="3"/>
        <v>0</v>
      </c>
      <c r="V23" s="66">
        <f t="shared" si="0"/>
        <v>0</v>
      </c>
      <c r="W23" s="67">
        <f t="shared" si="1"/>
        <v>0</v>
      </c>
      <c r="X23" s="66">
        <f t="shared" si="2"/>
        <v>0</v>
      </c>
      <c r="Y23" s="65" t="str">
        <f t="shared" si="4"/>
        <v/>
      </c>
      <c r="Z23" s="63" t="str">
        <f t="shared" si="5"/>
        <v/>
      </c>
      <c r="AA23" s="70" t="str">
        <f t="shared" si="6"/>
        <v/>
      </c>
      <c r="AB23" s="1"/>
      <c r="AC23" s="1"/>
      <c r="AD23" s="1"/>
      <c r="AE23" s="1" t="s">
        <v>30</v>
      </c>
    </row>
    <row r="24" spans="1:31" ht="20.100000000000001" customHeight="1" x14ac:dyDescent="0.3">
      <c r="A24" s="27">
        <v>17</v>
      </c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41"/>
      <c r="M24" s="40"/>
      <c r="N24" s="40"/>
      <c r="O24" s="40"/>
      <c r="P24" s="39"/>
      <c r="Q24" s="40"/>
      <c r="R24" s="40"/>
      <c r="S24" s="40"/>
      <c r="T24" s="40"/>
      <c r="U24" s="62">
        <f t="shared" si="3"/>
        <v>0</v>
      </c>
      <c r="V24" s="62">
        <f t="shared" si="0"/>
        <v>0</v>
      </c>
      <c r="W24" s="68">
        <f t="shared" si="1"/>
        <v>0</v>
      </c>
      <c r="X24" s="62">
        <f t="shared" si="2"/>
        <v>0</v>
      </c>
      <c r="Y24" s="65" t="str">
        <f t="shared" si="4"/>
        <v/>
      </c>
      <c r="Z24" s="63" t="str">
        <f t="shared" si="5"/>
        <v/>
      </c>
      <c r="AA24" s="70" t="str">
        <f t="shared" si="6"/>
        <v/>
      </c>
      <c r="AB24" s="1"/>
      <c r="AC24" s="1"/>
      <c r="AD24" s="1"/>
      <c r="AE24" s="1"/>
    </row>
    <row r="25" spans="1:31" ht="20.100000000000001" customHeight="1" x14ac:dyDescent="0.3">
      <c r="A25" s="33">
        <v>18</v>
      </c>
      <c r="B25" s="34"/>
      <c r="C25" s="35"/>
      <c r="D25" s="36"/>
      <c r="E25" s="36"/>
      <c r="F25" s="36"/>
      <c r="G25" s="36"/>
      <c r="H25" s="36"/>
      <c r="I25" s="36"/>
      <c r="J25" s="36"/>
      <c r="K25" s="36"/>
      <c r="L25" s="37"/>
      <c r="M25" s="36"/>
      <c r="N25" s="36"/>
      <c r="O25" s="36"/>
      <c r="P25" s="35"/>
      <c r="Q25" s="36"/>
      <c r="R25" s="36"/>
      <c r="S25" s="36"/>
      <c r="T25" s="36"/>
      <c r="U25" s="66">
        <f t="shared" si="3"/>
        <v>0</v>
      </c>
      <c r="V25" s="66">
        <f t="shared" si="0"/>
        <v>0</v>
      </c>
      <c r="W25" s="67">
        <f t="shared" si="1"/>
        <v>0</v>
      </c>
      <c r="X25" s="66">
        <f t="shared" si="2"/>
        <v>0</v>
      </c>
      <c r="Y25" s="65" t="str">
        <f t="shared" si="4"/>
        <v/>
      </c>
      <c r="Z25" s="63" t="str">
        <f t="shared" si="5"/>
        <v/>
      </c>
      <c r="AA25" s="70" t="str">
        <f t="shared" si="6"/>
        <v/>
      </c>
      <c r="AB25" s="1"/>
      <c r="AC25" s="1"/>
      <c r="AD25" s="1"/>
      <c r="AE25" s="1"/>
    </row>
    <row r="26" spans="1:31" ht="20.100000000000001" customHeight="1" x14ac:dyDescent="0.3">
      <c r="A26" s="27">
        <v>19</v>
      </c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41"/>
      <c r="M26" s="40"/>
      <c r="N26" s="40"/>
      <c r="O26" s="40"/>
      <c r="P26" s="39"/>
      <c r="Q26" s="40"/>
      <c r="R26" s="40"/>
      <c r="S26" s="40"/>
      <c r="T26" s="40"/>
      <c r="U26" s="62">
        <f t="shared" si="3"/>
        <v>0</v>
      </c>
      <c r="V26" s="62">
        <f t="shared" si="0"/>
        <v>0</v>
      </c>
      <c r="W26" s="68">
        <f t="shared" si="1"/>
        <v>0</v>
      </c>
      <c r="X26" s="62">
        <f t="shared" si="2"/>
        <v>0</v>
      </c>
      <c r="Y26" s="65" t="str">
        <f t="shared" si="4"/>
        <v/>
      </c>
      <c r="Z26" s="63" t="str">
        <f t="shared" si="5"/>
        <v/>
      </c>
      <c r="AA26" s="70" t="str">
        <f t="shared" si="6"/>
        <v/>
      </c>
      <c r="AB26" s="1"/>
      <c r="AC26" s="1"/>
      <c r="AD26" s="1"/>
      <c r="AE26" s="1"/>
    </row>
    <row r="27" spans="1:31" ht="20.100000000000001" customHeight="1" x14ac:dyDescent="0.3">
      <c r="A27" s="33">
        <v>20</v>
      </c>
      <c r="B27" s="34"/>
      <c r="C27" s="35"/>
      <c r="D27" s="36"/>
      <c r="E27" s="36"/>
      <c r="F27" s="36"/>
      <c r="G27" s="36"/>
      <c r="H27" s="36"/>
      <c r="I27" s="36"/>
      <c r="J27" s="36"/>
      <c r="K27" s="36"/>
      <c r="L27" s="37"/>
      <c r="M27" s="36"/>
      <c r="N27" s="36"/>
      <c r="O27" s="36"/>
      <c r="P27" s="35"/>
      <c r="Q27" s="36"/>
      <c r="R27" s="36"/>
      <c r="S27" s="36"/>
      <c r="T27" s="36"/>
      <c r="U27" s="66">
        <f t="shared" si="3"/>
        <v>0</v>
      </c>
      <c r="V27" s="66">
        <f t="shared" si="0"/>
        <v>0</v>
      </c>
      <c r="W27" s="67">
        <f t="shared" si="1"/>
        <v>0</v>
      </c>
      <c r="X27" s="66">
        <f t="shared" si="2"/>
        <v>0</v>
      </c>
      <c r="Y27" s="65" t="str">
        <f t="shared" si="4"/>
        <v/>
      </c>
      <c r="Z27" s="63" t="str">
        <f t="shared" si="5"/>
        <v/>
      </c>
      <c r="AA27" s="70" t="str">
        <f t="shared" si="6"/>
        <v/>
      </c>
      <c r="AB27" s="1"/>
      <c r="AC27" s="1"/>
      <c r="AD27" s="1"/>
      <c r="AE27" s="1"/>
    </row>
    <row r="28" spans="1:31" ht="20.100000000000001" customHeight="1" x14ac:dyDescent="0.3">
      <c r="A28" s="27">
        <v>21</v>
      </c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41"/>
      <c r="M28" s="40"/>
      <c r="N28" s="40"/>
      <c r="O28" s="40"/>
      <c r="P28" s="39"/>
      <c r="Q28" s="40"/>
      <c r="R28" s="40"/>
      <c r="S28" s="40"/>
      <c r="T28" s="40"/>
      <c r="U28" s="62">
        <f t="shared" si="3"/>
        <v>0</v>
      </c>
      <c r="V28" s="62">
        <f t="shared" si="0"/>
        <v>0</v>
      </c>
      <c r="W28" s="68">
        <f t="shared" si="1"/>
        <v>0</v>
      </c>
      <c r="X28" s="62">
        <f t="shared" si="2"/>
        <v>0</v>
      </c>
      <c r="Y28" s="65" t="str">
        <f t="shared" si="4"/>
        <v/>
      </c>
      <c r="Z28" s="63" t="str">
        <f t="shared" si="5"/>
        <v/>
      </c>
      <c r="AA28" s="70" t="str">
        <f t="shared" si="6"/>
        <v/>
      </c>
      <c r="AB28" s="1"/>
      <c r="AC28" s="1"/>
      <c r="AD28" s="1"/>
      <c r="AE28" s="1"/>
    </row>
    <row r="29" spans="1:31" ht="20.100000000000001" customHeight="1" x14ac:dyDescent="0.3">
      <c r="A29" s="33">
        <v>22</v>
      </c>
      <c r="B29" s="34"/>
      <c r="C29" s="35"/>
      <c r="D29" s="36"/>
      <c r="E29" s="36"/>
      <c r="F29" s="36"/>
      <c r="G29" s="36"/>
      <c r="H29" s="36"/>
      <c r="I29" s="36"/>
      <c r="J29" s="36"/>
      <c r="K29" s="36"/>
      <c r="L29" s="37"/>
      <c r="M29" s="36"/>
      <c r="N29" s="36"/>
      <c r="O29" s="36"/>
      <c r="P29" s="35"/>
      <c r="Q29" s="36"/>
      <c r="R29" s="36"/>
      <c r="S29" s="36"/>
      <c r="T29" s="36"/>
      <c r="U29" s="66">
        <f t="shared" si="3"/>
        <v>0</v>
      </c>
      <c r="V29" s="66">
        <f t="shared" si="0"/>
        <v>0</v>
      </c>
      <c r="W29" s="67">
        <f t="shared" si="1"/>
        <v>0</v>
      </c>
      <c r="X29" s="66">
        <f t="shared" si="2"/>
        <v>0</v>
      </c>
      <c r="Y29" s="65" t="str">
        <f t="shared" si="4"/>
        <v/>
      </c>
      <c r="Z29" s="63" t="str">
        <f t="shared" si="5"/>
        <v/>
      </c>
      <c r="AA29" s="70" t="str">
        <f t="shared" si="6"/>
        <v/>
      </c>
      <c r="AB29" s="1"/>
      <c r="AC29" s="1"/>
      <c r="AD29" s="1"/>
      <c r="AE29" s="1"/>
    </row>
    <row r="30" spans="1:31" ht="20.100000000000001" customHeight="1" x14ac:dyDescent="0.3">
      <c r="A30" s="27">
        <v>23</v>
      </c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41"/>
      <c r="M30" s="40"/>
      <c r="N30" s="40"/>
      <c r="O30" s="40"/>
      <c r="P30" s="39"/>
      <c r="Q30" s="40"/>
      <c r="R30" s="40"/>
      <c r="S30" s="40"/>
      <c r="T30" s="40"/>
      <c r="U30" s="62">
        <f t="shared" si="3"/>
        <v>0</v>
      </c>
      <c r="V30" s="62">
        <f t="shared" si="0"/>
        <v>0</v>
      </c>
      <c r="W30" s="68">
        <f t="shared" si="1"/>
        <v>0</v>
      </c>
      <c r="X30" s="62">
        <f t="shared" si="2"/>
        <v>0</v>
      </c>
      <c r="Y30" s="65" t="str">
        <f t="shared" si="4"/>
        <v/>
      </c>
      <c r="Z30" s="63" t="str">
        <f t="shared" si="5"/>
        <v/>
      </c>
      <c r="AA30" s="70" t="str">
        <f t="shared" si="6"/>
        <v/>
      </c>
      <c r="AB30" s="1"/>
      <c r="AC30" s="1"/>
      <c r="AD30" s="1"/>
      <c r="AE30" s="1"/>
    </row>
    <row r="31" spans="1:31" ht="20.100000000000001" customHeight="1" x14ac:dyDescent="0.3">
      <c r="A31" s="33">
        <v>24</v>
      </c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7"/>
      <c r="M31" s="36"/>
      <c r="N31" s="36"/>
      <c r="O31" s="36"/>
      <c r="P31" s="35"/>
      <c r="Q31" s="36"/>
      <c r="R31" s="36"/>
      <c r="S31" s="36"/>
      <c r="T31" s="36"/>
      <c r="U31" s="66">
        <f t="shared" si="3"/>
        <v>0</v>
      </c>
      <c r="V31" s="66">
        <f t="shared" si="0"/>
        <v>0</v>
      </c>
      <c r="W31" s="67">
        <f t="shared" si="1"/>
        <v>0</v>
      </c>
      <c r="X31" s="66">
        <f t="shared" si="2"/>
        <v>0</v>
      </c>
      <c r="Y31" s="65" t="str">
        <f t="shared" si="4"/>
        <v/>
      </c>
      <c r="Z31" s="63" t="str">
        <f t="shared" si="5"/>
        <v/>
      </c>
      <c r="AA31" s="70" t="str">
        <f t="shared" si="6"/>
        <v/>
      </c>
      <c r="AB31" s="1"/>
      <c r="AC31" s="1"/>
      <c r="AD31" s="1"/>
      <c r="AE31" s="1"/>
    </row>
    <row r="32" spans="1:31" ht="20.100000000000001" customHeight="1" x14ac:dyDescent="0.3">
      <c r="A32" s="27">
        <v>25</v>
      </c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41"/>
      <c r="M32" s="40"/>
      <c r="N32" s="40"/>
      <c r="O32" s="40"/>
      <c r="P32" s="39"/>
      <c r="Q32" s="40"/>
      <c r="R32" s="40"/>
      <c r="S32" s="40"/>
      <c r="T32" s="40"/>
      <c r="U32" s="62">
        <f t="shared" si="3"/>
        <v>0</v>
      </c>
      <c r="V32" s="62">
        <f t="shared" si="0"/>
        <v>0</v>
      </c>
      <c r="W32" s="68">
        <f t="shared" si="1"/>
        <v>0</v>
      </c>
      <c r="X32" s="62">
        <f t="shared" si="2"/>
        <v>0</v>
      </c>
      <c r="Y32" s="65" t="str">
        <f t="shared" si="4"/>
        <v/>
      </c>
      <c r="Z32" s="63" t="str">
        <f t="shared" si="5"/>
        <v/>
      </c>
      <c r="AA32" s="70" t="str">
        <f t="shared" si="6"/>
        <v/>
      </c>
      <c r="AB32" s="1"/>
      <c r="AC32" s="1"/>
      <c r="AD32" s="1"/>
      <c r="AE32" s="1"/>
    </row>
    <row r="33" spans="1:31" ht="20.100000000000001" customHeight="1" x14ac:dyDescent="0.3">
      <c r="A33" s="33">
        <v>26</v>
      </c>
      <c r="B33" s="34"/>
      <c r="C33" s="35"/>
      <c r="D33" s="36"/>
      <c r="E33" s="36"/>
      <c r="F33" s="36"/>
      <c r="G33" s="36"/>
      <c r="H33" s="36"/>
      <c r="I33" s="36"/>
      <c r="J33" s="36"/>
      <c r="K33" s="36"/>
      <c r="L33" s="37"/>
      <c r="M33" s="36"/>
      <c r="N33" s="36"/>
      <c r="O33" s="36"/>
      <c r="P33" s="35"/>
      <c r="Q33" s="36"/>
      <c r="R33" s="36"/>
      <c r="S33" s="36"/>
      <c r="T33" s="36"/>
      <c r="U33" s="66">
        <f t="shared" si="3"/>
        <v>0</v>
      </c>
      <c r="V33" s="66">
        <f t="shared" si="0"/>
        <v>0</v>
      </c>
      <c r="W33" s="67">
        <f t="shared" si="1"/>
        <v>0</v>
      </c>
      <c r="X33" s="66">
        <f t="shared" si="2"/>
        <v>0</v>
      </c>
      <c r="Y33" s="65" t="str">
        <f t="shared" si="4"/>
        <v/>
      </c>
      <c r="Z33" s="63" t="str">
        <f t="shared" si="5"/>
        <v/>
      </c>
      <c r="AA33" s="70" t="str">
        <f t="shared" si="6"/>
        <v/>
      </c>
      <c r="AB33" s="1"/>
      <c r="AC33" s="1"/>
      <c r="AD33" s="1"/>
      <c r="AE33" s="1"/>
    </row>
    <row r="34" spans="1:31" ht="20.100000000000001" customHeight="1" x14ac:dyDescent="0.3">
      <c r="A34" s="27">
        <v>27</v>
      </c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41"/>
      <c r="M34" s="40"/>
      <c r="N34" s="40"/>
      <c r="O34" s="40"/>
      <c r="P34" s="39"/>
      <c r="Q34" s="40"/>
      <c r="R34" s="40"/>
      <c r="S34" s="40"/>
      <c r="T34" s="40"/>
      <c r="U34" s="62">
        <f t="shared" si="3"/>
        <v>0</v>
      </c>
      <c r="V34" s="62">
        <f t="shared" si="0"/>
        <v>0</v>
      </c>
      <c r="W34" s="68">
        <f t="shared" si="1"/>
        <v>0</v>
      </c>
      <c r="X34" s="62">
        <f t="shared" si="2"/>
        <v>0</v>
      </c>
      <c r="Y34" s="65" t="str">
        <f t="shared" si="4"/>
        <v/>
      </c>
      <c r="Z34" s="63" t="str">
        <f t="shared" si="5"/>
        <v/>
      </c>
      <c r="AA34" s="70" t="str">
        <f t="shared" si="6"/>
        <v/>
      </c>
      <c r="AB34" s="1"/>
      <c r="AC34" s="1"/>
      <c r="AD34" s="1"/>
      <c r="AE34" s="1"/>
    </row>
    <row r="35" spans="1:31" ht="20.100000000000001" customHeight="1" x14ac:dyDescent="0.3">
      <c r="A35" s="33">
        <v>28</v>
      </c>
      <c r="B35" s="34"/>
      <c r="C35" s="35"/>
      <c r="D35" s="36"/>
      <c r="E35" s="36"/>
      <c r="F35" s="36"/>
      <c r="G35" s="36"/>
      <c r="H35" s="36"/>
      <c r="I35" s="36"/>
      <c r="J35" s="36"/>
      <c r="K35" s="36"/>
      <c r="L35" s="37"/>
      <c r="M35" s="36"/>
      <c r="N35" s="36"/>
      <c r="O35" s="36"/>
      <c r="P35" s="35"/>
      <c r="Q35" s="36"/>
      <c r="R35" s="36"/>
      <c r="S35" s="36"/>
      <c r="T35" s="36"/>
      <c r="U35" s="66">
        <f t="shared" si="3"/>
        <v>0</v>
      </c>
      <c r="V35" s="66">
        <f t="shared" si="0"/>
        <v>0</v>
      </c>
      <c r="W35" s="67">
        <f t="shared" si="1"/>
        <v>0</v>
      </c>
      <c r="X35" s="66">
        <f t="shared" si="2"/>
        <v>0</v>
      </c>
      <c r="Y35" s="65" t="str">
        <f t="shared" si="4"/>
        <v/>
      </c>
      <c r="Z35" s="63" t="str">
        <f t="shared" si="5"/>
        <v/>
      </c>
      <c r="AA35" s="70" t="str">
        <f t="shared" si="6"/>
        <v/>
      </c>
      <c r="AB35" s="1"/>
      <c r="AC35" s="1"/>
      <c r="AD35" s="1"/>
      <c r="AE35" s="1"/>
    </row>
    <row r="36" spans="1:31" ht="20.100000000000001" customHeight="1" x14ac:dyDescent="0.3">
      <c r="A36" s="27">
        <v>29</v>
      </c>
      <c r="B36" s="38"/>
      <c r="C36" s="39"/>
      <c r="D36" s="40"/>
      <c r="E36" s="40"/>
      <c r="F36" s="40"/>
      <c r="G36" s="40"/>
      <c r="H36" s="40"/>
      <c r="I36" s="40"/>
      <c r="J36" s="40"/>
      <c r="K36" s="40"/>
      <c r="L36" s="41"/>
      <c r="M36" s="40"/>
      <c r="N36" s="40"/>
      <c r="O36" s="40"/>
      <c r="P36" s="39"/>
      <c r="Q36" s="40"/>
      <c r="R36" s="40"/>
      <c r="S36" s="40"/>
      <c r="T36" s="40"/>
      <c r="U36" s="62">
        <f t="shared" si="3"/>
        <v>0</v>
      </c>
      <c r="V36" s="62">
        <f t="shared" si="0"/>
        <v>0</v>
      </c>
      <c r="W36" s="68">
        <f t="shared" si="1"/>
        <v>0</v>
      </c>
      <c r="X36" s="62">
        <f t="shared" si="2"/>
        <v>0</v>
      </c>
      <c r="Y36" s="65" t="str">
        <f t="shared" si="4"/>
        <v/>
      </c>
      <c r="Z36" s="63" t="str">
        <f t="shared" si="5"/>
        <v/>
      </c>
      <c r="AA36" s="70" t="str">
        <f t="shared" si="6"/>
        <v/>
      </c>
      <c r="AB36" s="1"/>
      <c r="AC36" s="1"/>
      <c r="AD36" s="1"/>
      <c r="AE36" s="1"/>
    </row>
    <row r="37" spans="1:31" ht="20.100000000000001" customHeight="1" x14ac:dyDescent="0.3">
      <c r="A37" s="33">
        <v>30</v>
      </c>
      <c r="B37" s="34"/>
      <c r="C37" s="35"/>
      <c r="D37" s="36"/>
      <c r="E37" s="36"/>
      <c r="F37" s="36"/>
      <c r="G37" s="36"/>
      <c r="H37" s="36"/>
      <c r="I37" s="36"/>
      <c r="J37" s="36"/>
      <c r="K37" s="36"/>
      <c r="L37" s="37"/>
      <c r="M37" s="36"/>
      <c r="N37" s="36"/>
      <c r="O37" s="36"/>
      <c r="P37" s="35"/>
      <c r="Q37" s="36"/>
      <c r="R37" s="36"/>
      <c r="S37" s="36"/>
      <c r="T37" s="36"/>
      <c r="U37" s="66">
        <f t="shared" si="3"/>
        <v>0</v>
      </c>
      <c r="V37" s="66">
        <f t="shared" si="0"/>
        <v>0</v>
      </c>
      <c r="W37" s="67">
        <f t="shared" si="1"/>
        <v>0</v>
      </c>
      <c r="X37" s="66">
        <f t="shared" si="2"/>
        <v>0</v>
      </c>
      <c r="Y37" s="65" t="str">
        <f t="shared" si="4"/>
        <v/>
      </c>
      <c r="Z37" s="63" t="str">
        <f t="shared" si="5"/>
        <v/>
      </c>
      <c r="AA37" s="70" t="str">
        <f t="shared" si="6"/>
        <v/>
      </c>
      <c r="AB37" s="1"/>
      <c r="AC37" s="1"/>
      <c r="AD37" s="1"/>
      <c r="AE37" s="1"/>
    </row>
    <row r="38" spans="1:31" ht="20.100000000000001" customHeight="1" x14ac:dyDescent="0.3">
      <c r="A38" s="27">
        <v>31</v>
      </c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41"/>
      <c r="M38" s="40"/>
      <c r="N38" s="40"/>
      <c r="O38" s="40"/>
      <c r="P38" s="39"/>
      <c r="Q38" s="40"/>
      <c r="R38" s="40"/>
      <c r="S38" s="40"/>
      <c r="T38" s="40"/>
      <c r="U38" s="62">
        <f t="shared" si="3"/>
        <v>0</v>
      </c>
      <c r="V38" s="62">
        <f t="shared" si="0"/>
        <v>0</v>
      </c>
      <c r="W38" s="68">
        <f t="shared" si="1"/>
        <v>0</v>
      </c>
      <c r="X38" s="62">
        <f t="shared" si="2"/>
        <v>0</v>
      </c>
      <c r="Y38" s="65" t="str">
        <f t="shared" si="4"/>
        <v/>
      </c>
      <c r="Z38" s="63" t="str">
        <f t="shared" si="5"/>
        <v/>
      </c>
      <c r="AA38" s="70" t="str">
        <f t="shared" si="6"/>
        <v/>
      </c>
      <c r="AB38" s="1"/>
      <c r="AC38" s="1"/>
      <c r="AD38" s="1"/>
      <c r="AE38" s="1"/>
    </row>
    <row r="39" spans="1:31" ht="20.100000000000001" customHeight="1" x14ac:dyDescent="0.3">
      <c r="A39" s="33">
        <v>32</v>
      </c>
      <c r="B39" s="34"/>
      <c r="C39" s="35"/>
      <c r="D39" s="36"/>
      <c r="E39" s="36"/>
      <c r="F39" s="36"/>
      <c r="G39" s="36"/>
      <c r="H39" s="36"/>
      <c r="I39" s="36"/>
      <c r="J39" s="36"/>
      <c r="K39" s="36"/>
      <c r="L39" s="37"/>
      <c r="M39" s="36"/>
      <c r="N39" s="36"/>
      <c r="O39" s="36"/>
      <c r="P39" s="35"/>
      <c r="Q39" s="36"/>
      <c r="R39" s="36"/>
      <c r="S39" s="36"/>
      <c r="T39" s="36"/>
      <c r="U39" s="66">
        <f t="shared" si="3"/>
        <v>0</v>
      </c>
      <c r="V39" s="66">
        <f t="shared" si="0"/>
        <v>0</v>
      </c>
      <c r="W39" s="67">
        <f t="shared" si="1"/>
        <v>0</v>
      </c>
      <c r="X39" s="66">
        <f t="shared" si="2"/>
        <v>0</v>
      </c>
      <c r="Y39" s="65" t="str">
        <f t="shared" si="4"/>
        <v/>
      </c>
      <c r="Z39" s="63" t="str">
        <f t="shared" si="5"/>
        <v/>
      </c>
      <c r="AA39" s="70" t="str">
        <f t="shared" si="6"/>
        <v/>
      </c>
      <c r="AB39" s="1"/>
      <c r="AC39" s="1"/>
      <c r="AD39" s="1"/>
      <c r="AE39" s="1"/>
    </row>
    <row r="40" spans="1:31" ht="20.100000000000001" customHeight="1" x14ac:dyDescent="0.3">
      <c r="A40" s="27">
        <v>33</v>
      </c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41"/>
      <c r="M40" s="40"/>
      <c r="N40" s="40"/>
      <c r="O40" s="40"/>
      <c r="P40" s="39"/>
      <c r="Q40" s="40"/>
      <c r="R40" s="40"/>
      <c r="S40" s="40"/>
      <c r="T40" s="40"/>
      <c r="U40" s="62">
        <f t="shared" si="3"/>
        <v>0</v>
      </c>
      <c r="V40" s="62">
        <f t="shared" si="0"/>
        <v>0</v>
      </c>
      <c r="W40" s="68">
        <f t="shared" si="1"/>
        <v>0</v>
      </c>
      <c r="X40" s="62">
        <f t="shared" si="2"/>
        <v>0</v>
      </c>
      <c r="Y40" s="65" t="str">
        <f t="shared" si="4"/>
        <v/>
      </c>
      <c r="Z40" s="63" t="str">
        <f t="shared" si="5"/>
        <v/>
      </c>
      <c r="AA40" s="70" t="str">
        <f t="shared" si="6"/>
        <v/>
      </c>
      <c r="AB40" s="1"/>
      <c r="AC40" s="1"/>
      <c r="AD40" s="1"/>
      <c r="AE40" s="1"/>
    </row>
    <row r="41" spans="1:31" ht="20.100000000000001" customHeight="1" x14ac:dyDescent="0.3">
      <c r="A41" s="33">
        <v>34</v>
      </c>
      <c r="B41" s="34"/>
      <c r="C41" s="35"/>
      <c r="D41" s="36"/>
      <c r="E41" s="36"/>
      <c r="F41" s="36"/>
      <c r="G41" s="36"/>
      <c r="H41" s="36"/>
      <c r="I41" s="36"/>
      <c r="J41" s="36"/>
      <c r="K41" s="36"/>
      <c r="L41" s="37"/>
      <c r="M41" s="36"/>
      <c r="N41" s="36"/>
      <c r="O41" s="36"/>
      <c r="P41" s="35"/>
      <c r="Q41" s="36"/>
      <c r="R41" s="36"/>
      <c r="S41" s="36"/>
      <c r="T41" s="36"/>
      <c r="U41" s="66">
        <f t="shared" si="3"/>
        <v>0</v>
      </c>
      <c r="V41" s="66">
        <f t="shared" si="0"/>
        <v>0</v>
      </c>
      <c r="W41" s="67">
        <f t="shared" si="1"/>
        <v>0</v>
      </c>
      <c r="X41" s="66">
        <f t="shared" si="2"/>
        <v>0</v>
      </c>
      <c r="Y41" s="65" t="str">
        <f t="shared" si="4"/>
        <v/>
      </c>
      <c r="Z41" s="63" t="str">
        <f t="shared" si="5"/>
        <v/>
      </c>
      <c r="AA41" s="70" t="str">
        <f t="shared" si="6"/>
        <v/>
      </c>
      <c r="AB41" s="1"/>
      <c r="AC41" s="1"/>
      <c r="AD41" s="1"/>
      <c r="AE41" s="1"/>
    </row>
    <row r="42" spans="1:31" ht="20.100000000000001" customHeight="1" x14ac:dyDescent="0.3">
      <c r="A42" s="27">
        <v>35</v>
      </c>
      <c r="B42" s="38"/>
      <c r="C42" s="39"/>
      <c r="D42" s="40"/>
      <c r="E42" s="40"/>
      <c r="F42" s="40"/>
      <c r="G42" s="40"/>
      <c r="H42" s="40"/>
      <c r="I42" s="40"/>
      <c r="J42" s="40"/>
      <c r="K42" s="40"/>
      <c r="L42" s="41"/>
      <c r="M42" s="40"/>
      <c r="N42" s="40"/>
      <c r="O42" s="40"/>
      <c r="P42" s="39"/>
      <c r="Q42" s="40"/>
      <c r="R42" s="40"/>
      <c r="S42" s="40"/>
      <c r="T42" s="40"/>
      <c r="U42" s="62">
        <f t="shared" si="3"/>
        <v>0</v>
      </c>
      <c r="V42" s="62">
        <f t="shared" si="0"/>
        <v>0</v>
      </c>
      <c r="W42" s="68">
        <f t="shared" si="1"/>
        <v>0</v>
      </c>
      <c r="X42" s="62">
        <f t="shared" si="2"/>
        <v>0</v>
      </c>
      <c r="Y42" s="65" t="str">
        <f t="shared" si="4"/>
        <v/>
      </c>
      <c r="Z42" s="63" t="str">
        <f t="shared" si="5"/>
        <v/>
      </c>
      <c r="AA42" s="70" t="str">
        <f t="shared" si="6"/>
        <v/>
      </c>
      <c r="AB42" s="1"/>
      <c r="AC42" s="1"/>
      <c r="AD42" s="1"/>
      <c r="AE42" s="1"/>
    </row>
    <row r="43" spans="1:31" ht="20.100000000000001" customHeight="1" x14ac:dyDescent="0.3">
      <c r="A43" s="33">
        <v>36</v>
      </c>
      <c r="B43" s="34"/>
      <c r="C43" s="35"/>
      <c r="D43" s="36"/>
      <c r="E43" s="36"/>
      <c r="F43" s="36"/>
      <c r="G43" s="36"/>
      <c r="H43" s="36"/>
      <c r="I43" s="36"/>
      <c r="J43" s="36"/>
      <c r="K43" s="36"/>
      <c r="L43" s="37"/>
      <c r="M43" s="36"/>
      <c r="N43" s="36"/>
      <c r="O43" s="36"/>
      <c r="P43" s="35"/>
      <c r="Q43" s="36"/>
      <c r="R43" s="36"/>
      <c r="S43" s="36"/>
      <c r="T43" s="36"/>
      <c r="U43" s="66">
        <f t="shared" si="3"/>
        <v>0</v>
      </c>
      <c r="V43" s="66">
        <f t="shared" si="0"/>
        <v>0</v>
      </c>
      <c r="W43" s="67">
        <f t="shared" si="1"/>
        <v>0</v>
      </c>
      <c r="X43" s="66">
        <f t="shared" si="2"/>
        <v>0</v>
      </c>
      <c r="Y43" s="65" t="str">
        <f t="shared" si="4"/>
        <v/>
      </c>
      <c r="Z43" s="63" t="str">
        <f t="shared" si="5"/>
        <v/>
      </c>
      <c r="AA43" s="70" t="str">
        <f t="shared" si="6"/>
        <v/>
      </c>
      <c r="AB43" s="1"/>
      <c r="AC43" s="1"/>
      <c r="AD43" s="1"/>
      <c r="AE43" s="1"/>
    </row>
    <row r="44" spans="1:31" ht="20.100000000000001" customHeight="1" x14ac:dyDescent="0.3">
      <c r="A44" s="27">
        <v>37</v>
      </c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41"/>
      <c r="M44" s="40"/>
      <c r="N44" s="40"/>
      <c r="O44" s="40"/>
      <c r="P44" s="39"/>
      <c r="Q44" s="40"/>
      <c r="R44" s="40"/>
      <c r="S44" s="40"/>
      <c r="T44" s="40"/>
      <c r="U44" s="62">
        <f t="shared" si="3"/>
        <v>0</v>
      </c>
      <c r="V44" s="62">
        <f t="shared" si="0"/>
        <v>0</v>
      </c>
      <c r="W44" s="68">
        <f t="shared" si="1"/>
        <v>0</v>
      </c>
      <c r="X44" s="62">
        <f t="shared" si="2"/>
        <v>0</v>
      </c>
      <c r="Y44" s="65" t="str">
        <f t="shared" si="4"/>
        <v/>
      </c>
      <c r="Z44" s="63" t="str">
        <f t="shared" si="5"/>
        <v/>
      </c>
      <c r="AA44" s="70" t="str">
        <f t="shared" si="6"/>
        <v/>
      </c>
      <c r="AB44" s="1"/>
      <c r="AC44" s="1"/>
      <c r="AD44" s="1"/>
      <c r="AE44" s="1"/>
    </row>
    <row r="45" spans="1:31" ht="20.100000000000001" customHeight="1" x14ac:dyDescent="0.3">
      <c r="A45" s="33">
        <v>38</v>
      </c>
      <c r="B45" s="34"/>
      <c r="C45" s="35"/>
      <c r="D45" s="36"/>
      <c r="E45" s="36"/>
      <c r="F45" s="36"/>
      <c r="G45" s="36"/>
      <c r="H45" s="36"/>
      <c r="I45" s="36"/>
      <c r="J45" s="36"/>
      <c r="K45" s="36"/>
      <c r="L45" s="37"/>
      <c r="M45" s="36"/>
      <c r="N45" s="36"/>
      <c r="O45" s="36"/>
      <c r="P45" s="35"/>
      <c r="Q45" s="36"/>
      <c r="R45" s="36"/>
      <c r="S45" s="36"/>
      <c r="T45" s="36"/>
      <c r="U45" s="66">
        <f t="shared" si="3"/>
        <v>0</v>
      </c>
      <c r="V45" s="66">
        <f t="shared" si="0"/>
        <v>0</v>
      </c>
      <c r="W45" s="67">
        <f t="shared" si="1"/>
        <v>0</v>
      </c>
      <c r="X45" s="66">
        <f t="shared" si="2"/>
        <v>0</v>
      </c>
      <c r="Y45" s="65" t="str">
        <f t="shared" si="4"/>
        <v/>
      </c>
      <c r="Z45" s="63" t="str">
        <f t="shared" si="5"/>
        <v/>
      </c>
      <c r="AA45" s="70" t="str">
        <f t="shared" si="6"/>
        <v/>
      </c>
      <c r="AB45" s="1"/>
      <c r="AC45" s="1"/>
      <c r="AD45" s="1"/>
      <c r="AE45" s="1"/>
    </row>
    <row r="46" spans="1:31" ht="20.100000000000001" customHeight="1" x14ac:dyDescent="0.3">
      <c r="A46" s="27">
        <v>39</v>
      </c>
      <c r="B46" s="38"/>
      <c r="C46" s="39"/>
      <c r="D46" s="40"/>
      <c r="E46" s="40"/>
      <c r="F46" s="40"/>
      <c r="G46" s="40"/>
      <c r="H46" s="40"/>
      <c r="I46" s="40"/>
      <c r="J46" s="40"/>
      <c r="K46" s="40"/>
      <c r="L46" s="41"/>
      <c r="M46" s="40"/>
      <c r="N46" s="40"/>
      <c r="O46" s="40"/>
      <c r="P46" s="39"/>
      <c r="Q46" s="40"/>
      <c r="R46" s="40"/>
      <c r="S46" s="40"/>
      <c r="T46" s="40"/>
      <c r="U46" s="62">
        <f t="shared" si="3"/>
        <v>0</v>
      </c>
      <c r="V46" s="62">
        <f t="shared" si="0"/>
        <v>0</v>
      </c>
      <c r="W46" s="68">
        <f t="shared" si="1"/>
        <v>0</v>
      </c>
      <c r="X46" s="62">
        <f t="shared" si="2"/>
        <v>0</v>
      </c>
      <c r="Y46" s="65" t="str">
        <f t="shared" si="4"/>
        <v/>
      </c>
      <c r="Z46" s="63" t="str">
        <f t="shared" si="5"/>
        <v/>
      </c>
      <c r="AA46" s="70" t="str">
        <f t="shared" si="6"/>
        <v/>
      </c>
      <c r="AB46" s="1"/>
      <c r="AC46" s="1"/>
      <c r="AD46" s="1"/>
      <c r="AE46" s="1"/>
    </row>
    <row r="47" spans="1:31" ht="20.100000000000001" customHeight="1" thickBot="1" x14ac:dyDescent="0.35">
      <c r="A47" s="42">
        <v>40</v>
      </c>
      <c r="B47" s="43"/>
      <c r="C47" s="44"/>
      <c r="D47" s="45"/>
      <c r="E47" s="45"/>
      <c r="F47" s="45"/>
      <c r="G47" s="45"/>
      <c r="H47" s="45"/>
      <c r="I47" s="45"/>
      <c r="J47" s="45"/>
      <c r="K47" s="45"/>
      <c r="L47" s="46"/>
      <c r="M47" s="45"/>
      <c r="N47" s="45"/>
      <c r="O47" s="45"/>
      <c r="P47" s="47"/>
      <c r="Q47" s="48"/>
      <c r="R47" s="48"/>
      <c r="S47" s="48"/>
      <c r="T47" s="48"/>
      <c r="U47" s="71">
        <f t="shared" si="3"/>
        <v>0</v>
      </c>
      <c r="V47" s="71">
        <f t="shared" si="0"/>
        <v>0</v>
      </c>
      <c r="W47" s="72">
        <f t="shared" si="1"/>
        <v>0</v>
      </c>
      <c r="X47" s="71">
        <f t="shared" si="2"/>
        <v>0</v>
      </c>
      <c r="Y47" s="65" t="str">
        <f t="shared" si="4"/>
        <v/>
      </c>
      <c r="Z47" s="73" t="str">
        <f t="shared" si="5"/>
        <v/>
      </c>
      <c r="AA47" s="70" t="str">
        <f t="shared" si="6"/>
        <v/>
      </c>
      <c r="AB47" s="1"/>
      <c r="AC47" s="1"/>
      <c r="AD47" s="1"/>
      <c r="AE47" s="1"/>
    </row>
    <row r="48" spans="1:31" ht="27" customHeight="1" thickBot="1" x14ac:dyDescent="0.35">
      <c r="A48" s="191" t="s">
        <v>31</v>
      </c>
      <c r="B48" s="192"/>
      <c r="C48" s="49" t="s">
        <v>10</v>
      </c>
      <c r="D48" s="49" t="s">
        <v>11</v>
      </c>
      <c r="E48" s="49" t="s">
        <v>12</v>
      </c>
      <c r="F48" s="49" t="s">
        <v>13</v>
      </c>
      <c r="G48" s="49" t="s">
        <v>14</v>
      </c>
      <c r="H48" s="49" t="s">
        <v>15</v>
      </c>
      <c r="I48" s="49" t="s">
        <v>16</v>
      </c>
      <c r="J48" s="49" t="s">
        <v>17</v>
      </c>
      <c r="K48" s="49" t="s">
        <v>18</v>
      </c>
      <c r="L48" s="49" t="s">
        <v>19</v>
      </c>
      <c r="M48" s="49" t="s">
        <v>20</v>
      </c>
      <c r="N48" s="49" t="s">
        <v>21</v>
      </c>
      <c r="O48" s="49" t="s">
        <v>22</v>
      </c>
      <c r="P48" s="49" t="s">
        <v>23</v>
      </c>
      <c r="Q48" s="49" t="s">
        <v>24</v>
      </c>
      <c r="R48" s="49" t="s">
        <v>25</v>
      </c>
      <c r="S48" s="49" t="s">
        <v>26</v>
      </c>
      <c r="T48" s="49" t="s">
        <v>27</v>
      </c>
      <c r="U48" s="15"/>
      <c r="V48" s="15"/>
      <c r="W48" s="193" t="s">
        <v>32</v>
      </c>
      <c r="X48" s="194"/>
      <c r="Y48" s="194"/>
      <c r="Z48" s="194"/>
      <c r="AA48" s="195"/>
      <c r="AB48" s="1"/>
      <c r="AC48" s="1"/>
      <c r="AD48" s="1"/>
      <c r="AE48" s="1"/>
    </row>
    <row r="49" spans="1:31" ht="27" customHeight="1" x14ac:dyDescent="0.3">
      <c r="A49" s="156" t="s">
        <v>6</v>
      </c>
      <c r="B49" s="157"/>
      <c r="C49" s="74">
        <f t="shared" ref="C49:T49" si="7">COUNTIF(C8:C47,3)/COUNTA(C8:C47)*1</f>
        <v>1</v>
      </c>
      <c r="D49" s="74">
        <f t="shared" si="7"/>
        <v>1</v>
      </c>
      <c r="E49" s="74">
        <f t="shared" si="7"/>
        <v>1</v>
      </c>
      <c r="F49" s="74">
        <f t="shared" si="7"/>
        <v>1</v>
      </c>
      <c r="G49" s="74">
        <f t="shared" si="7"/>
        <v>1</v>
      </c>
      <c r="H49" s="74">
        <f t="shared" si="7"/>
        <v>1</v>
      </c>
      <c r="I49" s="74">
        <f t="shared" si="7"/>
        <v>1</v>
      </c>
      <c r="J49" s="74">
        <f t="shared" si="7"/>
        <v>1</v>
      </c>
      <c r="K49" s="74">
        <f t="shared" si="7"/>
        <v>1</v>
      </c>
      <c r="L49" s="74">
        <f t="shared" si="7"/>
        <v>1</v>
      </c>
      <c r="M49" s="74">
        <f t="shared" si="7"/>
        <v>0.66666666666666663</v>
      </c>
      <c r="N49" s="74">
        <f t="shared" si="7"/>
        <v>0.66666666666666663</v>
      </c>
      <c r="O49" s="74">
        <f t="shared" si="7"/>
        <v>0.66666666666666663</v>
      </c>
      <c r="P49" s="74">
        <f t="shared" si="7"/>
        <v>1</v>
      </c>
      <c r="Q49" s="74">
        <f t="shared" si="7"/>
        <v>0.75</v>
      </c>
      <c r="R49" s="74">
        <f t="shared" si="7"/>
        <v>0.4</v>
      </c>
      <c r="S49" s="74">
        <f t="shared" si="7"/>
        <v>0.8</v>
      </c>
      <c r="T49" s="74">
        <f t="shared" si="7"/>
        <v>1</v>
      </c>
      <c r="U49" s="15"/>
      <c r="V49" s="15"/>
      <c r="W49" s="158" t="s">
        <v>2</v>
      </c>
      <c r="X49" s="159"/>
      <c r="Y49" s="164" t="s">
        <v>50</v>
      </c>
      <c r="Z49" s="164" t="s">
        <v>64</v>
      </c>
      <c r="AA49" s="167" t="s">
        <v>33</v>
      </c>
      <c r="AB49" s="147"/>
      <c r="AC49" s="3"/>
      <c r="AD49" s="1"/>
      <c r="AE49" s="1"/>
    </row>
    <row r="50" spans="1:31" ht="27" customHeight="1" x14ac:dyDescent="0.3">
      <c r="A50" s="148" t="s">
        <v>68</v>
      </c>
      <c r="B50" s="149"/>
      <c r="C50" s="75">
        <f>COUNTIF(C9:C48,2)/COUNTA(C9:C48)*1</f>
        <v>0</v>
      </c>
      <c r="D50" s="75">
        <f t="shared" ref="D50:T50" si="8">COUNTIF(D9:D48,2)/COUNTA(D9:D48)*1</f>
        <v>0</v>
      </c>
      <c r="E50" s="75">
        <f t="shared" si="8"/>
        <v>0</v>
      </c>
      <c r="F50" s="75">
        <f t="shared" si="8"/>
        <v>0</v>
      </c>
      <c r="G50" s="75">
        <f t="shared" si="8"/>
        <v>0</v>
      </c>
      <c r="H50" s="75">
        <f t="shared" si="8"/>
        <v>0</v>
      </c>
      <c r="I50" s="75">
        <f t="shared" si="8"/>
        <v>0</v>
      </c>
      <c r="J50" s="75">
        <f t="shared" si="8"/>
        <v>0</v>
      </c>
      <c r="K50" s="75">
        <f t="shared" si="8"/>
        <v>0</v>
      </c>
      <c r="L50" s="75">
        <f t="shared" si="8"/>
        <v>0</v>
      </c>
      <c r="M50" s="75">
        <f t="shared" si="8"/>
        <v>0</v>
      </c>
      <c r="N50" s="75">
        <f t="shared" si="8"/>
        <v>0</v>
      </c>
      <c r="O50" s="75">
        <f t="shared" si="8"/>
        <v>0</v>
      </c>
      <c r="P50" s="75">
        <f t="shared" si="8"/>
        <v>0</v>
      </c>
      <c r="Q50" s="75">
        <f t="shared" si="8"/>
        <v>0.25</v>
      </c>
      <c r="R50" s="75">
        <f t="shared" si="8"/>
        <v>0.2</v>
      </c>
      <c r="S50" s="75">
        <f t="shared" si="8"/>
        <v>0.2</v>
      </c>
      <c r="T50" s="75">
        <f t="shared" si="8"/>
        <v>0</v>
      </c>
      <c r="U50" s="15"/>
      <c r="V50" s="15"/>
      <c r="W50" s="160"/>
      <c r="X50" s="161"/>
      <c r="Y50" s="165"/>
      <c r="Z50" s="165"/>
      <c r="AA50" s="168"/>
      <c r="AB50" s="147"/>
      <c r="AC50" s="3"/>
      <c r="AD50" s="1"/>
      <c r="AE50" s="1"/>
    </row>
    <row r="51" spans="1:31" ht="26.25" customHeight="1" thickBot="1" x14ac:dyDescent="0.35">
      <c r="A51" s="150" t="s">
        <v>7</v>
      </c>
      <c r="B51" s="151"/>
      <c r="C51" s="76">
        <f>COUNTIF(C8:C47,1)/COUNTA(C8:C47)*1</f>
        <v>0</v>
      </c>
      <c r="D51" s="76">
        <f t="shared" ref="D51:T51" si="9">COUNTIF(D8:D47,1)/COUNTA(D8:D47)*1</f>
        <v>0</v>
      </c>
      <c r="E51" s="76">
        <f t="shared" si="9"/>
        <v>0</v>
      </c>
      <c r="F51" s="76">
        <f t="shared" si="9"/>
        <v>0</v>
      </c>
      <c r="G51" s="76">
        <f t="shared" si="9"/>
        <v>0</v>
      </c>
      <c r="H51" s="76">
        <f t="shared" si="9"/>
        <v>0</v>
      </c>
      <c r="I51" s="76">
        <f t="shared" si="9"/>
        <v>0</v>
      </c>
      <c r="J51" s="76">
        <f t="shared" si="9"/>
        <v>0</v>
      </c>
      <c r="K51" s="76">
        <f t="shared" si="9"/>
        <v>0</v>
      </c>
      <c r="L51" s="76">
        <f t="shared" si="9"/>
        <v>0</v>
      </c>
      <c r="M51" s="76">
        <f t="shared" si="9"/>
        <v>0</v>
      </c>
      <c r="N51" s="76">
        <f t="shared" si="9"/>
        <v>0</v>
      </c>
      <c r="O51" s="76">
        <f t="shared" si="9"/>
        <v>0</v>
      </c>
      <c r="P51" s="76">
        <f t="shared" si="9"/>
        <v>0</v>
      </c>
      <c r="Q51" s="76">
        <f t="shared" si="9"/>
        <v>0</v>
      </c>
      <c r="R51" s="76">
        <f t="shared" si="9"/>
        <v>0.2</v>
      </c>
      <c r="S51" s="76">
        <f t="shared" si="9"/>
        <v>0</v>
      </c>
      <c r="T51" s="76">
        <f t="shared" si="9"/>
        <v>0</v>
      </c>
      <c r="U51" s="15"/>
      <c r="V51" s="15"/>
      <c r="W51" s="162"/>
      <c r="X51" s="163"/>
      <c r="Y51" s="166"/>
      <c r="Z51" s="166"/>
      <c r="AA51" s="169"/>
      <c r="AB51" s="147"/>
      <c r="AC51" s="3"/>
      <c r="AD51" s="1"/>
      <c r="AE51" s="1"/>
    </row>
    <row r="52" spans="1:31" ht="20.100000000000001" customHeight="1" thickBot="1" x14ac:dyDescent="0.35">
      <c r="A52" s="152" t="s">
        <v>8</v>
      </c>
      <c r="B52" s="153"/>
      <c r="C52" s="77">
        <f>COUNTIF(C8:C47,0)/COUNTA(C8:C47)*1</f>
        <v>0</v>
      </c>
      <c r="D52" s="77">
        <f t="shared" ref="D52:T52" si="10">COUNTIF(D8:D47,0)/COUNTA(D8:D47)*1</f>
        <v>0</v>
      </c>
      <c r="E52" s="77">
        <f t="shared" si="10"/>
        <v>0</v>
      </c>
      <c r="F52" s="77">
        <f t="shared" si="10"/>
        <v>0</v>
      </c>
      <c r="G52" s="77">
        <f t="shared" si="10"/>
        <v>0</v>
      </c>
      <c r="H52" s="77">
        <f t="shared" si="10"/>
        <v>0</v>
      </c>
      <c r="I52" s="77">
        <f t="shared" si="10"/>
        <v>0</v>
      </c>
      <c r="J52" s="77">
        <f t="shared" si="10"/>
        <v>0</v>
      </c>
      <c r="K52" s="77">
        <f t="shared" si="10"/>
        <v>0</v>
      </c>
      <c r="L52" s="77">
        <f t="shared" si="10"/>
        <v>0</v>
      </c>
      <c r="M52" s="77">
        <f t="shared" si="10"/>
        <v>0.33333333333333331</v>
      </c>
      <c r="N52" s="77">
        <f t="shared" si="10"/>
        <v>0.33333333333333331</v>
      </c>
      <c r="O52" s="77">
        <f t="shared" si="10"/>
        <v>0.33333333333333331</v>
      </c>
      <c r="P52" s="77">
        <f t="shared" si="10"/>
        <v>0</v>
      </c>
      <c r="Q52" s="77">
        <f t="shared" si="10"/>
        <v>0</v>
      </c>
      <c r="R52" s="77">
        <f t="shared" si="10"/>
        <v>0.2</v>
      </c>
      <c r="S52" s="77">
        <f t="shared" si="10"/>
        <v>0</v>
      </c>
      <c r="T52" s="77">
        <f t="shared" si="10"/>
        <v>0</v>
      </c>
      <c r="U52" s="15"/>
      <c r="V52" s="15"/>
      <c r="W52" s="154" t="s">
        <v>34</v>
      </c>
      <c r="X52" s="155"/>
      <c r="Y52" s="79">
        <f>COUNTIFS(Y8:Y47,"Logrado")</f>
        <v>1</v>
      </c>
      <c r="Z52" s="79">
        <f t="shared" ref="Z52:AA52" si="11">COUNTIFS(Z8:Z47,"Logrado")</f>
        <v>2</v>
      </c>
      <c r="AA52" s="79">
        <f t="shared" si="11"/>
        <v>1</v>
      </c>
      <c r="AB52" s="1"/>
      <c r="AC52" s="1"/>
      <c r="AD52" s="1"/>
      <c r="AE52" s="1"/>
    </row>
    <row r="53" spans="1:31" ht="20.100000000000001" customHeight="1" thickBot="1" x14ac:dyDescent="0.35">
      <c r="A53" s="187" t="s">
        <v>35</v>
      </c>
      <c r="B53" s="188"/>
      <c r="C53" s="78">
        <f>SUM(C49:C52)</f>
        <v>1</v>
      </c>
      <c r="D53" s="78">
        <f t="shared" ref="D53:T53" si="12">SUM(D49:D52)</f>
        <v>1</v>
      </c>
      <c r="E53" s="78">
        <f t="shared" si="12"/>
        <v>1</v>
      </c>
      <c r="F53" s="78">
        <f t="shared" si="12"/>
        <v>1</v>
      </c>
      <c r="G53" s="78">
        <f t="shared" si="12"/>
        <v>1</v>
      </c>
      <c r="H53" s="78">
        <f t="shared" si="12"/>
        <v>1</v>
      </c>
      <c r="I53" s="78">
        <f t="shared" si="12"/>
        <v>1</v>
      </c>
      <c r="J53" s="78">
        <f t="shared" si="12"/>
        <v>1</v>
      </c>
      <c r="K53" s="78">
        <f t="shared" si="12"/>
        <v>1</v>
      </c>
      <c r="L53" s="78">
        <f t="shared" si="12"/>
        <v>1</v>
      </c>
      <c r="M53" s="78">
        <f t="shared" si="12"/>
        <v>1</v>
      </c>
      <c r="N53" s="78">
        <f t="shared" si="12"/>
        <v>1</v>
      </c>
      <c r="O53" s="78">
        <f t="shared" si="12"/>
        <v>1</v>
      </c>
      <c r="P53" s="78">
        <f t="shared" si="12"/>
        <v>1</v>
      </c>
      <c r="Q53" s="78">
        <f t="shared" si="12"/>
        <v>1</v>
      </c>
      <c r="R53" s="78">
        <f t="shared" si="12"/>
        <v>1</v>
      </c>
      <c r="S53" s="78">
        <f t="shared" si="12"/>
        <v>1</v>
      </c>
      <c r="T53" s="78">
        <f t="shared" si="12"/>
        <v>1</v>
      </c>
      <c r="U53" s="15"/>
      <c r="V53" s="15"/>
      <c r="W53" s="189" t="s">
        <v>36</v>
      </c>
      <c r="X53" s="190"/>
      <c r="Y53" s="80">
        <f>COUNTIFS(Y8:Y47,"Proceso")</f>
        <v>0</v>
      </c>
      <c r="Z53" s="80">
        <f t="shared" ref="Z53:AA53" si="13">COUNTIFS(Z8:Z47,"Proceso")</f>
        <v>1</v>
      </c>
      <c r="AA53" s="80">
        <f t="shared" si="13"/>
        <v>0</v>
      </c>
      <c r="AB53" s="1"/>
      <c r="AC53" s="1"/>
      <c r="AD53" s="1"/>
      <c r="AE53" s="1"/>
    </row>
    <row r="54" spans="1:31" ht="20.100000000000001" customHeight="1" thickBot="1" x14ac:dyDescent="0.35">
      <c r="A54" s="50"/>
      <c r="B54" s="50"/>
      <c r="C54" s="51"/>
      <c r="D54" s="51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79" t="s">
        <v>37</v>
      </c>
      <c r="X54" s="180"/>
      <c r="Y54" s="80">
        <f>COUNTIFS(Y8:Y47,"Inicio")</f>
        <v>2</v>
      </c>
      <c r="Z54" s="80">
        <f t="shared" ref="Z54:AA54" si="14">COUNTIFS(Z8:Z47,"Inicio")</f>
        <v>2</v>
      </c>
      <c r="AA54" s="80">
        <f t="shared" si="14"/>
        <v>4</v>
      </c>
      <c r="AB54" s="1"/>
      <c r="AC54" s="1"/>
      <c r="AD54" s="1"/>
      <c r="AE54" s="1"/>
    </row>
    <row r="55" spans="1:31" ht="34.5" customHeight="1" thickBot="1" x14ac:dyDescent="0.35">
      <c r="A55" s="181" t="s">
        <v>39</v>
      </c>
      <c r="B55" s="182"/>
      <c r="C55" s="122" t="str">
        <f>IF(COUNTIF(C8:C47,3)/COUNTA(C8:C47)&lt;=0.33,"Inicio",
   IF(COUNTIF(C8:C47,3)/COUNTA(C8:C47)&lt;=0.66,"Proceso",
   "Logrado"))</f>
        <v>Logrado</v>
      </c>
      <c r="D55" s="123" t="str">
        <f t="shared" ref="D55:T55" si="15">IF(COUNTIF(D8:D47,3)/COUNTA(D8:D47)&lt;=0.33,"Inicio",
   IF(COUNTIF(D8:D47,3)/COUNTA(D8:D47)&lt;=0.66,"Proceso",
   "Logrado"))</f>
        <v>Logrado</v>
      </c>
      <c r="E55" s="123" t="str">
        <f t="shared" si="15"/>
        <v>Logrado</v>
      </c>
      <c r="F55" s="123" t="str">
        <f t="shared" si="15"/>
        <v>Logrado</v>
      </c>
      <c r="G55" s="123" t="str">
        <f t="shared" si="15"/>
        <v>Logrado</v>
      </c>
      <c r="H55" s="123" t="str">
        <f t="shared" si="15"/>
        <v>Logrado</v>
      </c>
      <c r="I55" s="123" t="str">
        <f t="shared" si="15"/>
        <v>Logrado</v>
      </c>
      <c r="J55" s="123" t="str">
        <f t="shared" si="15"/>
        <v>Logrado</v>
      </c>
      <c r="K55" s="123" t="str">
        <f t="shared" si="15"/>
        <v>Logrado</v>
      </c>
      <c r="L55" s="123" t="str">
        <f t="shared" si="15"/>
        <v>Logrado</v>
      </c>
      <c r="M55" s="123" t="str">
        <f t="shared" si="15"/>
        <v>Logrado</v>
      </c>
      <c r="N55" s="123" t="str">
        <f t="shared" si="15"/>
        <v>Logrado</v>
      </c>
      <c r="O55" s="124" t="str">
        <f t="shared" si="15"/>
        <v>Logrado</v>
      </c>
      <c r="P55" s="122" t="str">
        <f t="shared" si="15"/>
        <v>Logrado</v>
      </c>
      <c r="Q55" s="123" t="str">
        <f t="shared" si="15"/>
        <v>Logrado</v>
      </c>
      <c r="R55" s="123" t="str">
        <f t="shared" si="15"/>
        <v>Proceso</v>
      </c>
      <c r="S55" s="123" t="str">
        <f t="shared" si="15"/>
        <v>Logrado</v>
      </c>
      <c r="T55" s="124" t="str">
        <f t="shared" si="15"/>
        <v>Logrado</v>
      </c>
      <c r="U55" s="15"/>
      <c r="V55" s="15"/>
      <c r="W55" s="183" t="s">
        <v>40</v>
      </c>
      <c r="X55" s="184"/>
      <c r="Y55" s="81">
        <f>SUM(Y52:Y54)</f>
        <v>3</v>
      </c>
      <c r="Z55" s="81">
        <f>SUM(Z52:Z54)</f>
        <v>5</v>
      </c>
      <c r="AA55" s="81">
        <f>SUM(AA52:AA54)</f>
        <v>5</v>
      </c>
      <c r="AB55" s="1"/>
      <c r="AC55" s="1"/>
      <c r="AD55" s="1"/>
      <c r="AE55" s="1"/>
    </row>
    <row r="56" spans="1:31" ht="25.5" customHeight="1" thickBot="1" x14ac:dyDescent="0.35">
      <c r="A56" s="185" t="s">
        <v>41</v>
      </c>
      <c r="B56" s="186"/>
      <c r="C56" s="176" t="str">
        <f>IF(SUM(C49:O49)&lt;=430%,"Inicio",
IF(SUM(C49:O49)&lt;=860%,"Proceso",
"Logrado"))</f>
        <v>Logrado</v>
      </c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8"/>
      <c r="P56" s="176" t="str">
        <f>IF(SUM(P49:T49)&lt;=165%,"Inicio",IF(SUM(P49:T49)&lt;=330%,"Proceso","Logrado"))</f>
        <v>Logrado</v>
      </c>
      <c r="Q56" s="177"/>
      <c r="R56" s="177"/>
      <c r="S56" s="177"/>
      <c r="T56" s="178"/>
      <c r="U56" s="52"/>
      <c r="V56" s="52"/>
      <c r="W56" s="52"/>
      <c r="X56" s="15"/>
      <c r="Y56" s="15"/>
      <c r="Z56" s="15"/>
      <c r="AA56" s="15"/>
      <c r="AB56" s="1"/>
      <c r="AC56" s="1"/>
      <c r="AD56" s="1"/>
      <c r="AE56" s="1"/>
    </row>
    <row r="57" spans="1:31" ht="15.6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"/>
      <c r="AC57" s="1"/>
      <c r="AD57" s="1"/>
      <c r="AE57" s="1"/>
    </row>
    <row r="58" spans="1:31" ht="16.2" thickBot="1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"/>
      <c r="AC58" s="1"/>
      <c r="AD58" s="1"/>
      <c r="AE58" s="1"/>
    </row>
    <row r="59" spans="1:31" ht="16.2" thickBot="1" x14ac:dyDescent="0.35">
      <c r="A59" s="15"/>
      <c r="B59" s="170" t="s">
        <v>42</v>
      </c>
      <c r="C59" s="171"/>
      <c r="D59" s="172"/>
      <c r="E59" s="53"/>
      <c r="F59" s="54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"/>
      <c r="AC59" s="1"/>
      <c r="AD59" s="1"/>
      <c r="AE59" s="1"/>
    </row>
    <row r="60" spans="1:31" ht="15.6" x14ac:dyDescent="0.3">
      <c r="A60" s="15"/>
      <c r="B60" s="55" t="s">
        <v>6</v>
      </c>
      <c r="C60" s="56" t="s">
        <v>43</v>
      </c>
      <c r="D60" s="40">
        <v>3</v>
      </c>
      <c r="E60" s="57"/>
      <c r="F60" s="57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"/>
      <c r="AC60" s="1"/>
      <c r="AD60" s="1"/>
      <c r="AE60" s="1"/>
    </row>
    <row r="61" spans="1:31" ht="15.6" x14ac:dyDescent="0.3">
      <c r="A61" s="15"/>
      <c r="B61" s="55" t="s">
        <v>68</v>
      </c>
      <c r="C61" s="56" t="s">
        <v>69</v>
      </c>
      <c r="D61" s="36">
        <v>2</v>
      </c>
      <c r="E61" s="57"/>
      <c r="F61" s="57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"/>
      <c r="AC61" s="1"/>
      <c r="AD61" s="1"/>
      <c r="AE61" s="1"/>
    </row>
    <row r="62" spans="1:31" ht="15.6" x14ac:dyDescent="0.3">
      <c r="A62" s="15"/>
      <c r="B62" s="58" t="s">
        <v>7</v>
      </c>
      <c r="C62" s="59" t="s">
        <v>44</v>
      </c>
      <c r="D62" s="40">
        <v>1</v>
      </c>
      <c r="E62" s="57"/>
      <c r="F62" s="57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"/>
      <c r="AC62" s="1"/>
      <c r="AD62" s="1"/>
      <c r="AE62" s="1"/>
    </row>
    <row r="63" spans="1:31" ht="16.2" thickBot="1" x14ac:dyDescent="0.35">
      <c r="A63" s="15"/>
      <c r="B63" s="60" t="s">
        <v>8</v>
      </c>
      <c r="C63" s="61" t="s">
        <v>45</v>
      </c>
      <c r="D63" s="36">
        <v>0</v>
      </c>
      <c r="E63" s="57"/>
      <c r="F63" s="57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"/>
      <c r="AC63" s="1"/>
      <c r="AD63" s="1"/>
      <c r="AE63" s="1"/>
    </row>
    <row r="64" spans="1:31" ht="15.6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"/>
      <c r="AC64" s="1"/>
      <c r="AD64" s="1"/>
      <c r="AE64" s="1"/>
    </row>
    <row r="65" spans="1:31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</sheetData>
  <sheetProtection algorithmName="SHA-512" hashValue="3mN0+NRR5HETxH/KJbnp5CcGRaAlRyzOfIye4ndZuhi5AZWmbopJmWqNpBe+iMScIr+aBxVOfmhtLq7Q+/QWcQ==" saltValue="UDQn/Y+eonMC26v7SAqedg==" spinCount="100000" sheet="1" objects="1" scenarios="1"/>
  <mergeCells count="36">
    <mergeCell ref="B59:D59"/>
    <mergeCell ref="C5:O5"/>
    <mergeCell ref="C56:O56"/>
    <mergeCell ref="W54:X54"/>
    <mergeCell ref="A55:B55"/>
    <mergeCell ref="W55:X55"/>
    <mergeCell ref="A56:B56"/>
    <mergeCell ref="P56:T56"/>
    <mergeCell ref="A53:B53"/>
    <mergeCell ref="W53:X53"/>
    <mergeCell ref="A48:B48"/>
    <mergeCell ref="W48:AA48"/>
    <mergeCell ref="AA5:AA7"/>
    <mergeCell ref="U6:U7"/>
    <mergeCell ref="V6:V7"/>
    <mergeCell ref="W6:W7"/>
    <mergeCell ref="AB49:AB51"/>
    <mergeCell ref="A50:B50"/>
    <mergeCell ref="A51:B51"/>
    <mergeCell ref="A52:B52"/>
    <mergeCell ref="W52:X52"/>
    <mergeCell ref="A49:B49"/>
    <mergeCell ref="W49:X51"/>
    <mergeCell ref="Y49:Y51"/>
    <mergeCell ref="Z49:Z51"/>
    <mergeCell ref="AA49:AA51"/>
    <mergeCell ref="X6:X7"/>
    <mergeCell ref="Y6:Y7"/>
    <mergeCell ref="Z6:Z7"/>
    <mergeCell ref="A1:AA1"/>
    <mergeCell ref="A3:B3"/>
    <mergeCell ref="C3:AA3"/>
    <mergeCell ref="A5:A7"/>
    <mergeCell ref="P5:T5"/>
    <mergeCell ref="U5:X5"/>
    <mergeCell ref="Y5:Z5"/>
  </mergeCells>
  <conditionalFormatting sqref="AA8:AA47 C55:T55">
    <cfRule type="expression" dxfId="71" priority="19">
      <formula>C8="Logrado"</formula>
    </cfRule>
    <cfRule type="expression" dxfId="70" priority="20">
      <formula>C8="Proceso"</formula>
    </cfRule>
    <cfRule type="expression" dxfId="69" priority="21">
      <formula>C8="Inicio"</formula>
    </cfRule>
    <cfRule type="expression" dxfId="68" priority="22">
      <formula>C8="Previo al Inicio"</formula>
    </cfRule>
  </conditionalFormatting>
  <conditionalFormatting sqref="Y8:Z47">
    <cfRule type="expression" dxfId="67" priority="15">
      <formula>Y8="Previo al inicio"</formula>
    </cfRule>
    <cfRule type="expression" dxfId="66" priority="16">
      <formula>Y8="Inicio"</formula>
    </cfRule>
    <cfRule type="expression" dxfId="65" priority="17">
      <formula>Y8="Proceso"</formula>
    </cfRule>
    <cfRule type="expression" dxfId="64" priority="18">
      <formula>Y8="Logrado"</formula>
    </cfRule>
  </conditionalFormatting>
  <conditionalFormatting sqref="C56 P56">
    <cfRule type="expression" dxfId="63" priority="11">
      <formula>C56="Previo al inicio"</formula>
    </cfRule>
    <cfRule type="expression" dxfId="62" priority="12">
      <formula>C56="Inicio"</formula>
    </cfRule>
    <cfRule type="expression" dxfId="61" priority="13">
      <formula>C56="Proceso"</formula>
    </cfRule>
    <cfRule type="expression" dxfId="60" priority="14">
      <formula>C56="Logrado"</formula>
    </cfRule>
  </conditionalFormatting>
  <dataValidations count="1">
    <dataValidation type="list" showInputMessage="1" showErrorMessage="1" sqref="D60:D63 C8:T47" xr:uid="{00000000-0002-0000-0000-000000000000}">
      <formula1>"0,1,2,3"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BA569943-5B1B-4E93-BAF3-0F704E1AF98C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E60:F61</xm:sqref>
        </x14:conditionalFormatting>
        <x14:conditionalFormatting xmlns:xm="http://schemas.microsoft.com/office/excel/2006/main">
          <x14:cfRule type="iconSet" priority="9" id="{DF079842-44F2-44C9-BE16-2DC94C09433C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E62:F62</xm:sqref>
        </x14:conditionalFormatting>
        <x14:conditionalFormatting xmlns:xm="http://schemas.microsoft.com/office/excel/2006/main">
          <x14:cfRule type="iconSet" priority="8" id="{0CC57BF2-3616-4A97-9188-090DB36F31D9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E63:F63</xm:sqref>
        </x14:conditionalFormatting>
        <x14:conditionalFormatting xmlns:xm="http://schemas.microsoft.com/office/excel/2006/main">
          <x14:cfRule type="iconSet" priority="1" id="{18A9452A-4E66-4CBA-8C4C-103515CB08C5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D60:D63</xm:sqref>
        </x14:conditionalFormatting>
        <x14:conditionalFormatting xmlns:xm="http://schemas.microsoft.com/office/excel/2006/main">
          <x14:cfRule type="iconSet" priority="109" id="{87CCBE15-828D-4DBD-81A7-890F29BF435C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C20:T20 C26:T26 C32:T32 C38:T38 C44:T44 C8:T14</xm:sqref>
        </x14:conditionalFormatting>
        <x14:conditionalFormatting xmlns:xm="http://schemas.microsoft.com/office/excel/2006/main">
          <x14:cfRule type="iconSet" priority="115" id="{DE33A0BB-4E58-4B74-B1C2-2F26AB30A13E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C15:T19</xm:sqref>
        </x14:conditionalFormatting>
        <x14:conditionalFormatting xmlns:xm="http://schemas.microsoft.com/office/excel/2006/main">
          <x14:cfRule type="iconSet" priority="116" id="{5018C15D-EB86-458B-8951-B32FA70CE241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C21:T25</xm:sqref>
        </x14:conditionalFormatting>
        <x14:conditionalFormatting xmlns:xm="http://schemas.microsoft.com/office/excel/2006/main">
          <x14:cfRule type="iconSet" priority="117" id="{E2542F82-140E-4D47-832B-E95CDB4B81B2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C27:T31</xm:sqref>
        </x14:conditionalFormatting>
        <x14:conditionalFormatting xmlns:xm="http://schemas.microsoft.com/office/excel/2006/main">
          <x14:cfRule type="iconSet" priority="118" id="{9910C219-69B3-43FC-BA81-65CB392AA05A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C33:T37</xm:sqref>
        </x14:conditionalFormatting>
        <x14:conditionalFormatting xmlns:xm="http://schemas.microsoft.com/office/excel/2006/main">
          <x14:cfRule type="iconSet" priority="119" id="{DD122556-FF0B-442F-B074-592DE070184E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C39:T43</xm:sqref>
        </x14:conditionalFormatting>
        <x14:conditionalFormatting xmlns:xm="http://schemas.microsoft.com/office/excel/2006/main">
          <x14:cfRule type="iconSet" priority="120" id="{C0F531B8-248B-45BD-BD0D-F0AF0BE6DD76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C45:T47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7"/>
  <sheetViews>
    <sheetView tabSelected="1" topLeftCell="L8" zoomScale="50" zoomScaleNormal="50" workbookViewId="0">
      <selection activeCell="AK14" sqref="AK14"/>
    </sheetView>
  </sheetViews>
  <sheetFormatPr baseColWidth="10" defaultRowHeight="14.4" x14ac:dyDescent="0.3"/>
  <cols>
    <col min="1" max="1" width="6.44140625" customWidth="1"/>
    <col min="2" max="2" width="44" customWidth="1"/>
    <col min="3" max="27" width="12.6640625" customWidth="1"/>
    <col min="28" max="31" width="10.6640625" customWidth="1"/>
    <col min="32" max="35" width="22.33203125" customWidth="1"/>
    <col min="36" max="36" width="21" customWidth="1"/>
    <col min="38" max="38" width="17.5546875" customWidth="1"/>
  </cols>
  <sheetData>
    <row r="1" spans="1:40" ht="33.6" thickBot="1" x14ac:dyDescent="0.65">
      <c r="A1" s="205" t="s">
        <v>79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7"/>
      <c r="AK1" s="1"/>
      <c r="AL1" s="1"/>
      <c r="AM1" s="1"/>
      <c r="AN1" s="1"/>
    </row>
    <row r="2" spans="1:40" ht="16.2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21.6" thickBot="1" x14ac:dyDescent="0.45">
      <c r="A3" s="208" t="s">
        <v>0</v>
      </c>
      <c r="B3" s="209"/>
      <c r="C3" s="210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2"/>
      <c r="AK3" s="1"/>
      <c r="AL3" s="1"/>
      <c r="AM3" s="1"/>
      <c r="AN3" s="1"/>
    </row>
    <row r="4" spans="1:40" ht="16.2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1"/>
      <c r="AL4" s="1"/>
      <c r="AM4" s="1"/>
      <c r="AN4" s="1"/>
    </row>
    <row r="5" spans="1:40" ht="52.5" customHeight="1" thickBot="1" x14ac:dyDescent="0.35">
      <c r="A5" s="137" t="s">
        <v>1</v>
      </c>
      <c r="B5" s="17" t="s">
        <v>2</v>
      </c>
      <c r="C5" s="139" t="s">
        <v>50</v>
      </c>
      <c r="D5" s="140"/>
      <c r="E5" s="140"/>
      <c r="F5" s="140"/>
      <c r="G5" s="140"/>
      <c r="H5" s="140"/>
      <c r="I5" s="140"/>
      <c r="J5" s="140"/>
      <c r="K5" s="140"/>
      <c r="L5" s="213"/>
      <c r="M5" s="139" t="s">
        <v>58</v>
      </c>
      <c r="N5" s="140"/>
      <c r="O5" s="140"/>
      <c r="P5" s="140"/>
      <c r="Q5" s="213"/>
      <c r="R5" s="139" t="s">
        <v>64</v>
      </c>
      <c r="S5" s="140"/>
      <c r="T5" s="140"/>
      <c r="U5" s="140"/>
      <c r="V5" s="140"/>
      <c r="W5" s="140"/>
      <c r="X5" s="213"/>
      <c r="Y5" s="139" t="s">
        <v>66</v>
      </c>
      <c r="Z5" s="140"/>
      <c r="AA5" s="213"/>
      <c r="AB5" s="141" t="s">
        <v>3</v>
      </c>
      <c r="AC5" s="142"/>
      <c r="AD5" s="143"/>
      <c r="AE5" s="144"/>
      <c r="AF5" s="145" t="s">
        <v>2</v>
      </c>
      <c r="AG5" s="214"/>
      <c r="AH5" s="214"/>
      <c r="AI5" s="215"/>
      <c r="AJ5" s="216" t="s">
        <v>4</v>
      </c>
      <c r="AK5" s="1"/>
      <c r="AL5" s="1"/>
      <c r="AM5" s="1"/>
      <c r="AN5" s="1"/>
    </row>
    <row r="6" spans="1:40" ht="151.5" customHeight="1" thickBot="1" x14ac:dyDescent="0.35">
      <c r="A6" s="138"/>
      <c r="B6" s="18" t="s">
        <v>5</v>
      </c>
      <c r="C6" s="86" t="s">
        <v>48</v>
      </c>
      <c r="D6" s="87" t="s">
        <v>46</v>
      </c>
      <c r="E6" s="86" t="s">
        <v>47</v>
      </c>
      <c r="F6" s="86" t="s">
        <v>49</v>
      </c>
      <c r="G6" s="86" t="s">
        <v>48</v>
      </c>
      <c r="H6" s="86" t="s">
        <v>47</v>
      </c>
      <c r="I6" s="86" t="s">
        <v>48</v>
      </c>
      <c r="J6" s="86" t="s">
        <v>48</v>
      </c>
      <c r="K6" s="87" t="s">
        <v>46</v>
      </c>
      <c r="L6" s="88" t="s">
        <v>48</v>
      </c>
      <c r="M6" s="20" t="s">
        <v>51</v>
      </c>
      <c r="N6" s="21" t="s">
        <v>57</v>
      </c>
      <c r="O6" s="21" t="s">
        <v>71</v>
      </c>
      <c r="P6" s="21" t="s">
        <v>71</v>
      </c>
      <c r="Q6" s="89" t="s">
        <v>51</v>
      </c>
      <c r="R6" s="20" t="s">
        <v>59</v>
      </c>
      <c r="S6" s="21" t="s">
        <v>59</v>
      </c>
      <c r="T6" s="21" t="s">
        <v>61</v>
      </c>
      <c r="U6" s="21" t="s">
        <v>61</v>
      </c>
      <c r="V6" s="21" t="s">
        <v>60</v>
      </c>
      <c r="W6" s="21" t="s">
        <v>59</v>
      </c>
      <c r="X6" s="89" t="s">
        <v>62</v>
      </c>
      <c r="Y6" s="20" t="s">
        <v>65</v>
      </c>
      <c r="Z6" s="21" t="s">
        <v>65</v>
      </c>
      <c r="AA6" s="89" t="s">
        <v>65</v>
      </c>
      <c r="AB6" s="199" t="s">
        <v>6</v>
      </c>
      <c r="AC6" s="201" t="s">
        <v>68</v>
      </c>
      <c r="AD6" s="203" t="s">
        <v>7</v>
      </c>
      <c r="AE6" s="125" t="s">
        <v>8</v>
      </c>
      <c r="AF6" s="127" t="s">
        <v>50</v>
      </c>
      <c r="AG6" s="218" t="s">
        <v>58</v>
      </c>
      <c r="AH6" s="220" t="s">
        <v>64</v>
      </c>
      <c r="AI6" s="218" t="s">
        <v>66</v>
      </c>
      <c r="AJ6" s="217"/>
      <c r="AK6" s="1"/>
      <c r="AL6" s="1"/>
      <c r="AM6" s="1"/>
      <c r="AN6" s="1"/>
    </row>
    <row r="7" spans="1:40" ht="24" customHeight="1" thickBot="1" x14ac:dyDescent="0.35">
      <c r="A7" s="138"/>
      <c r="B7" s="22" t="s">
        <v>9</v>
      </c>
      <c r="C7" s="23" t="s">
        <v>10</v>
      </c>
      <c r="D7" s="24" t="s">
        <v>11</v>
      </c>
      <c r="E7" s="24" t="s">
        <v>12</v>
      </c>
      <c r="F7" s="24" t="s">
        <v>13</v>
      </c>
      <c r="G7" s="24" t="s">
        <v>14</v>
      </c>
      <c r="H7" s="24" t="s">
        <v>15</v>
      </c>
      <c r="I7" s="24" t="s">
        <v>16</v>
      </c>
      <c r="J7" s="24" t="s">
        <v>17</v>
      </c>
      <c r="K7" s="24" t="s">
        <v>18</v>
      </c>
      <c r="L7" s="26" t="s">
        <v>19</v>
      </c>
      <c r="M7" s="23" t="s">
        <v>20</v>
      </c>
      <c r="N7" s="24" t="s">
        <v>21</v>
      </c>
      <c r="O7" s="24" t="s">
        <v>22</v>
      </c>
      <c r="P7" s="24" t="s">
        <v>23</v>
      </c>
      <c r="Q7" s="26" t="s">
        <v>24</v>
      </c>
      <c r="R7" s="23" t="s">
        <v>25</v>
      </c>
      <c r="S7" s="24" t="s">
        <v>26</v>
      </c>
      <c r="T7" s="24" t="s">
        <v>27</v>
      </c>
      <c r="U7" s="24" t="s">
        <v>28</v>
      </c>
      <c r="V7" s="24" t="s">
        <v>29</v>
      </c>
      <c r="W7" s="24" t="s">
        <v>53</v>
      </c>
      <c r="X7" s="26" t="s">
        <v>54</v>
      </c>
      <c r="Y7" s="23" t="s">
        <v>55</v>
      </c>
      <c r="Z7" s="24" t="s">
        <v>56</v>
      </c>
      <c r="AA7" s="26" t="s">
        <v>67</v>
      </c>
      <c r="AB7" s="200"/>
      <c r="AC7" s="202"/>
      <c r="AD7" s="204"/>
      <c r="AE7" s="126"/>
      <c r="AF7" s="128"/>
      <c r="AG7" s="219"/>
      <c r="AH7" s="221"/>
      <c r="AI7" s="219"/>
      <c r="AJ7" s="217"/>
      <c r="AK7" s="1"/>
      <c r="AL7" s="1"/>
      <c r="AM7" s="1"/>
      <c r="AN7" s="1"/>
    </row>
    <row r="8" spans="1:40" ht="20.100000000000001" customHeight="1" x14ac:dyDescent="0.3">
      <c r="A8" s="27">
        <v>1</v>
      </c>
      <c r="B8" s="28" t="s">
        <v>81</v>
      </c>
      <c r="C8" s="29">
        <v>3</v>
      </c>
      <c r="D8" s="30">
        <v>3</v>
      </c>
      <c r="E8" s="30">
        <v>3</v>
      </c>
      <c r="F8" s="30">
        <v>3</v>
      </c>
      <c r="G8" s="30">
        <v>3</v>
      </c>
      <c r="H8" s="30">
        <v>3</v>
      </c>
      <c r="I8" s="30">
        <v>3</v>
      </c>
      <c r="J8" s="30">
        <v>3</v>
      </c>
      <c r="K8" s="30">
        <v>3</v>
      </c>
      <c r="L8" s="90">
        <v>3</v>
      </c>
      <c r="M8" s="29">
        <v>3</v>
      </c>
      <c r="N8" s="30">
        <v>3</v>
      </c>
      <c r="O8" s="30">
        <v>3</v>
      </c>
      <c r="P8" s="30">
        <v>3</v>
      </c>
      <c r="Q8" s="90">
        <v>3</v>
      </c>
      <c r="R8" s="29">
        <v>3</v>
      </c>
      <c r="S8" s="30">
        <v>3</v>
      </c>
      <c r="T8" s="30">
        <v>3</v>
      </c>
      <c r="U8" s="30">
        <v>3</v>
      </c>
      <c r="V8" s="30">
        <v>3</v>
      </c>
      <c r="W8" s="30">
        <v>3</v>
      </c>
      <c r="X8" s="90">
        <v>3</v>
      </c>
      <c r="Y8" s="29">
        <v>3</v>
      </c>
      <c r="Z8" s="30">
        <v>3</v>
      </c>
      <c r="AA8" s="90">
        <v>3</v>
      </c>
      <c r="AB8" s="63">
        <f t="shared" ref="AB8:AB47" si="0">COUNTIF(C8:AA8,3)</f>
        <v>25</v>
      </c>
      <c r="AC8" s="63">
        <f t="shared" ref="AC8:AC47" si="1">COUNTIF(C8:AA8,2)</f>
        <v>0</v>
      </c>
      <c r="AD8" s="64">
        <f t="shared" ref="AD8:AD47" si="2">COUNTIF(C8:AA8,1)</f>
        <v>0</v>
      </c>
      <c r="AE8" s="63">
        <f t="shared" ref="AE8:AE47" si="3">COUNTIF(C8:AA8,0)</f>
        <v>0</v>
      </c>
      <c r="AF8" s="65" t="str">
        <f>IF(COUNTA(C8:L8)=0,"",
   IF(COUNTIF(C8:L8,3)&lt;=2,"Previo al Inicio",
      IF(COUNTIF(C8:L8,3)&lt;=5,"Inicio",
         IF(COUNTIF(C8:L8,3)&lt;=8,"Proceso",
            IF(COUNTIF(C8:L8,3)&lt;=10,"Logrado","")))))</f>
        <v>Logrado</v>
      </c>
      <c r="AG8" s="63" t="str">
        <f>IF(COUNTA(M8:Q8)=0,"",
   IF(COUNTIF(M8:Q8,3)&lt;=1,"Previo al Inicio",
      IF(COUNTIF(M8:Q8,3)&lt;=2,"Inicio",
         IF(COUNTIF(M8:Q8,3)&lt;=4,"Proceso",
            IF(COUNTIF(M8:Q8,3)=5,"Logrado","")))))</f>
        <v>Logrado</v>
      </c>
      <c r="AH8" s="64" t="str">
        <f>IF(COUNTA(R8:X8)=0,"",
   IF(COUNTIF(R8:X8,3)&lt;=1,"Previo al Inicio",
      IF(COUNTIF(R8:X8,3)&lt;=3,"Inicio",
         IF(COUNTIF(R8:X8,3)&lt;=5,"Proceso",
            IF(COUNTIF(R8:X8,3)&lt;=7,"Logrado","")))))</f>
        <v>Logrado</v>
      </c>
      <c r="AI8" s="63" t="str">
        <f>IF(COUNTA(Y8:AA8)=0,"",
   IF(COUNTIF(Y8:AA8,3)=0,"Previo al Inicio",
      IF(COUNTIF(Y8:AA8,3)=1,"Inicio",
         IF(COUNTIF(Y8:AA8,3)=2,"Proceso",
            IF(COUNTIF(Y8:AA8,3)=3,"Logrado","")))))</f>
        <v>Logrado</v>
      </c>
      <c r="AJ8" s="70" t="str">
        <f>IF(COUNTA(C8:AA8)=0,"",
   IF(COUNTIF(C8:AA8,3)&lt;=6,"Previo al Inicio",
      IF(COUNTIF(C8:AA8,3)&lt;=13,"Inicio",
         IF(COUNTIF(C8:AA8,3)&lt;=20,"Proceso",
            IF(COUNTIF(C8:AA8,3)&lt;=25,"Logrado","")))))</f>
        <v>Logrado</v>
      </c>
      <c r="AK8" s="1"/>
      <c r="AL8" s="1"/>
      <c r="AM8" s="1"/>
      <c r="AN8" s="1"/>
    </row>
    <row r="9" spans="1:40" ht="20.100000000000001" customHeight="1" x14ac:dyDescent="0.3">
      <c r="A9" s="33">
        <v>2</v>
      </c>
      <c r="B9" s="34" t="s">
        <v>82</v>
      </c>
      <c r="C9" s="35">
        <v>1</v>
      </c>
      <c r="D9" s="36">
        <v>1</v>
      </c>
      <c r="E9" s="36">
        <v>1</v>
      </c>
      <c r="F9" s="36">
        <v>1</v>
      </c>
      <c r="G9" s="36">
        <v>1</v>
      </c>
      <c r="H9" s="36">
        <v>1</v>
      </c>
      <c r="I9" s="36">
        <v>3</v>
      </c>
      <c r="J9" s="36">
        <v>3</v>
      </c>
      <c r="K9" s="36">
        <v>3</v>
      </c>
      <c r="L9" s="91">
        <v>3</v>
      </c>
      <c r="M9" s="35">
        <v>3</v>
      </c>
      <c r="N9" s="36">
        <v>3</v>
      </c>
      <c r="O9" s="36">
        <v>3</v>
      </c>
      <c r="P9" s="36">
        <v>3</v>
      </c>
      <c r="Q9" s="91">
        <v>3</v>
      </c>
      <c r="R9" s="35">
        <v>3</v>
      </c>
      <c r="S9" s="36">
        <v>3</v>
      </c>
      <c r="T9" s="36">
        <v>3</v>
      </c>
      <c r="U9" s="36">
        <v>3</v>
      </c>
      <c r="V9" s="36">
        <v>3</v>
      </c>
      <c r="W9" s="36">
        <v>1</v>
      </c>
      <c r="X9" s="91">
        <v>1</v>
      </c>
      <c r="Y9" s="35">
        <v>1</v>
      </c>
      <c r="Z9" s="36">
        <v>1</v>
      </c>
      <c r="AA9" s="91">
        <v>1</v>
      </c>
      <c r="AB9" s="66">
        <f t="shared" si="0"/>
        <v>14</v>
      </c>
      <c r="AC9" s="66">
        <f t="shared" si="1"/>
        <v>0</v>
      </c>
      <c r="AD9" s="67">
        <f t="shared" si="2"/>
        <v>11</v>
      </c>
      <c r="AE9" s="66">
        <f t="shared" si="3"/>
        <v>0</v>
      </c>
      <c r="AF9" s="65" t="str">
        <f t="shared" ref="AF9:AF47" si="4">IF(COUNTA(C9:L9)=0,"",
   IF(COUNTIF(C9:L9,3)&lt;=2,"Previo al Inicio",
      IF(COUNTIF(C9:L9,3)&lt;=5,"Inicio",
         IF(COUNTIF(C9:L9,3)&lt;=8,"Proceso",
            IF(COUNTIF(C9:L9,3)&lt;=10,"Logrado","")))))</f>
        <v>Inicio</v>
      </c>
      <c r="AG9" s="63" t="str">
        <f t="shared" ref="AG9:AG47" si="5">IF(COUNTA(M9:Q9)=0,"",
   IF(COUNTIF(M9:Q9,3)&lt;=1,"Previo al Inicio",
      IF(COUNTIF(M9:Q9,3)&lt;=2,"Inicio",
         IF(COUNTIF(M9:Q9,3)&lt;=4,"Proceso",
            IF(COUNTIF(M9:Q9,3)=5,"Logrado","")))))</f>
        <v>Logrado</v>
      </c>
      <c r="AH9" s="64" t="str">
        <f t="shared" ref="AH9:AH47" si="6">IF(COUNTA(R9:X9)=0,"",
   IF(COUNTIF(R9:X9,3)&lt;=1,"Previo al Inicio",
      IF(COUNTIF(R9:X9,3)&lt;=3,"Inicio",
         IF(COUNTIF(R9:X9,3)&lt;=5,"Proceso",
            IF(COUNTIF(R9:X9,3)&lt;=7,"Logrado","")))))</f>
        <v>Proceso</v>
      </c>
      <c r="AI9" s="63" t="str">
        <f t="shared" ref="AI9:AI47" si="7">IF(COUNTA(Y9:AA9)=0,"",
   IF(COUNTIF(Y9:AA9,3)=0,"Previo al Inicio",
      IF(COUNTIF(Y9:AA9,3)=1,"Inicio",
         IF(COUNTIF(Y9:AA9,3)=2,"Proceso",
            IF(COUNTIF(Y9:AA9,3)=3,"Logrado","")))))</f>
        <v>Previo al Inicio</v>
      </c>
      <c r="AJ9" s="70" t="str">
        <f t="shared" ref="AJ9:AJ47" si="8">IF(COUNTA(C9:AA9)=0,"",
   IF(COUNTIF(C9:AA9,3)&lt;=6,"Previo al Inicio",
      IF(COUNTIF(C9:AA9,3)&lt;=13,"Inicio",
         IF(COUNTIF(C9:AA9,3)&lt;=20,"Proceso",
            IF(COUNTIF(C9:AA9,3)&lt;=25,"Logrado","")))))</f>
        <v>Proceso</v>
      </c>
      <c r="AK9" s="1"/>
      <c r="AL9" s="1"/>
      <c r="AM9" s="1"/>
      <c r="AN9" s="1"/>
    </row>
    <row r="10" spans="1:40" ht="20.100000000000001" customHeight="1" x14ac:dyDescent="0.3">
      <c r="A10" s="27">
        <v>3</v>
      </c>
      <c r="B10" s="38" t="s">
        <v>83</v>
      </c>
      <c r="C10" s="39">
        <v>3</v>
      </c>
      <c r="D10" s="40">
        <v>3</v>
      </c>
      <c r="E10" s="40">
        <v>3</v>
      </c>
      <c r="F10" s="40">
        <v>3</v>
      </c>
      <c r="G10" s="40">
        <v>3</v>
      </c>
      <c r="H10" s="40">
        <v>3</v>
      </c>
      <c r="I10" s="40">
        <v>3</v>
      </c>
      <c r="J10" s="40">
        <v>3</v>
      </c>
      <c r="K10" s="40">
        <v>3</v>
      </c>
      <c r="L10" s="92">
        <v>3</v>
      </c>
      <c r="M10" s="39">
        <v>3</v>
      </c>
      <c r="N10" s="40">
        <v>3</v>
      </c>
      <c r="O10" s="40">
        <v>3</v>
      </c>
      <c r="P10" s="40">
        <v>3</v>
      </c>
      <c r="Q10" s="92"/>
      <c r="R10" s="39">
        <v>3</v>
      </c>
      <c r="S10" s="40">
        <v>2</v>
      </c>
      <c r="T10" s="40">
        <v>1</v>
      </c>
      <c r="U10" s="40">
        <v>3</v>
      </c>
      <c r="V10" s="40">
        <v>3</v>
      </c>
      <c r="W10" s="40">
        <v>3</v>
      </c>
      <c r="X10" s="92">
        <v>3</v>
      </c>
      <c r="Y10" s="39">
        <v>3</v>
      </c>
      <c r="Z10" s="40">
        <v>1</v>
      </c>
      <c r="AA10" s="92">
        <v>3</v>
      </c>
      <c r="AB10" s="62">
        <f t="shared" si="0"/>
        <v>21</v>
      </c>
      <c r="AC10" s="62">
        <f t="shared" si="1"/>
        <v>1</v>
      </c>
      <c r="AD10" s="68">
        <f t="shared" si="2"/>
        <v>2</v>
      </c>
      <c r="AE10" s="62">
        <f t="shared" si="3"/>
        <v>0</v>
      </c>
      <c r="AF10" s="65" t="str">
        <f t="shared" si="4"/>
        <v>Logrado</v>
      </c>
      <c r="AG10" s="63" t="str">
        <f t="shared" si="5"/>
        <v>Proceso</v>
      </c>
      <c r="AH10" s="64" t="str">
        <f t="shared" si="6"/>
        <v>Proceso</v>
      </c>
      <c r="AI10" s="63" t="str">
        <f t="shared" si="7"/>
        <v>Proceso</v>
      </c>
      <c r="AJ10" s="70" t="str">
        <f t="shared" si="8"/>
        <v>Logrado</v>
      </c>
      <c r="AK10" s="1"/>
      <c r="AL10" s="1"/>
      <c r="AM10" s="1"/>
      <c r="AN10" s="1"/>
    </row>
    <row r="11" spans="1:40" ht="20.100000000000001" customHeight="1" x14ac:dyDescent="0.3">
      <c r="A11" s="33">
        <v>4</v>
      </c>
      <c r="B11" s="34" t="s">
        <v>84</v>
      </c>
      <c r="C11" s="35">
        <v>3</v>
      </c>
      <c r="D11" s="36">
        <v>3</v>
      </c>
      <c r="E11" s="36">
        <v>3</v>
      </c>
      <c r="F11" s="36">
        <v>3</v>
      </c>
      <c r="G11" s="36">
        <v>3</v>
      </c>
      <c r="H11" s="36">
        <v>3</v>
      </c>
      <c r="I11" s="36">
        <v>3</v>
      </c>
      <c r="J11" s="36">
        <v>3</v>
      </c>
      <c r="K11" s="36">
        <v>3</v>
      </c>
      <c r="L11" s="91">
        <v>1</v>
      </c>
      <c r="M11" s="35">
        <v>1</v>
      </c>
      <c r="N11" s="36">
        <v>1</v>
      </c>
      <c r="O11" s="36">
        <v>1</v>
      </c>
      <c r="P11" s="36">
        <v>1</v>
      </c>
      <c r="Q11" s="91">
        <v>1</v>
      </c>
      <c r="R11" s="35">
        <v>1</v>
      </c>
      <c r="S11" s="36">
        <v>1</v>
      </c>
      <c r="T11" s="36">
        <v>1</v>
      </c>
      <c r="U11" s="36">
        <v>1</v>
      </c>
      <c r="V11" s="36">
        <v>1</v>
      </c>
      <c r="W11" s="36">
        <v>1</v>
      </c>
      <c r="X11" s="91">
        <v>1</v>
      </c>
      <c r="Y11" s="35">
        <v>1</v>
      </c>
      <c r="Z11" s="36">
        <v>1</v>
      </c>
      <c r="AA11" s="91">
        <v>1</v>
      </c>
      <c r="AB11" s="66">
        <f t="shared" si="0"/>
        <v>9</v>
      </c>
      <c r="AC11" s="66">
        <f t="shared" si="1"/>
        <v>0</v>
      </c>
      <c r="AD11" s="67">
        <f t="shared" si="2"/>
        <v>16</v>
      </c>
      <c r="AE11" s="66">
        <f t="shared" si="3"/>
        <v>0</v>
      </c>
      <c r="AF11" s="65" t="str">
        <f t="shared" si="4"/>
        <v>Logrado</v>
      </c>
      <c r="AG11" s="63" t="str">
        <f t="shared" si="5"/>
        <v>Previo al Inicio</v>
      </c>
      <c r="AH11" s="64" t="str">
        <f t="shared" si="6"/>
        <v>Previo al Inicio</v>
      </c>
      <c r="AI11" s="63" t="str">
        <f t="shared" si="7"/>
        <v>Previo al Inicio</v>
      </c>
      <c r="AJ11" s="70" t="str">
        <f t="shared" si="8"/>
        <v>Inicio</v>
      </c>
      <c r="AK11" s="1"/>
      <c r="AL11" s="1"/>
      <c r="AM11" s="1"/>
      <c r="AN11" s="1"/>
    </row>
    <row r="12" spans="1:40" ht="20.100000000000001" customHeight="1" x14ac:dyDescent="0.3">
      <c r="A12" s="27">
        <v>5</v>
      </c>
      <c r="B12" s="38"/>
      <c r="C12" s="39"/>
      <c r="D12" s="40"/>
      <c r="E12" s="40"/>
      <c r="F12" s="40"/>
      <c r="G12" s="40"/>
      <c r="H12" s="40"/>
      <c r="I12" s="40"/>
      <c r="J12" s="40"/>
      <c r="K12" s="40"/>
      <c r="L12" s="92"/>
      <c r="M12" s="39"/>
      <c r="N12" s="40"/>
      <c r="O12" s="40"/>
      <c r="P12" s="40"/>
      <c r="Q12" s="92"/>
      <c r="R12" s="39"/>
      <c r="S12" s="40"/>
      <c r="T12" s="40"/>
      <c r="U12" s="40"/>
      <c r="V12" s="40"/>
      <c r="W12" s="40"/>
      <c r="X12" s="92"/>
      <c r="Y12" s="39"/>
      <c r="Z12" s="40"/>
      <c r="AA12" s="92"/>
      <c r="AB12" s="62">
        <f t="shared" si="0"/>
        <v>0</v>
      </c>
      <c r="AC12" s="62">
        <f t="shared" si="1"/>
        <v>0</v>
      </c>
      <c r="AD12" s="68">
        <f t="shared" si="2"/>
        <v>0</v>
      </c>
      <c r="AE12" s="62">
        <f t="shared" si="3"/>
        <v>0</v>
      </c>
      <c r="AF12" s="65" t="str">
        <f t="shared" si="4"/>
        <v/>
      </c>
      <c r="AG12" s="63" t="str">
        <f t="shared" si="5"/>
        <v/>
      </c>
      <c r="AH12" s="64" t="str">
        <f t="shared" si="6"/>
        <v/>
      </c>
      <c r="AI12" s="63" t="str">
        <f t="shared" si="7"/>
        <v/>
      </c>
      <c r="AJ12" s="70" t="str">
        <f t="shared" si="8"/>
        <v/>
      </c>
      <c r="AK12" s="1"/>
      <c r="AL12" s="1"/>
      <c r="AM12" s="1"/>
      <c r="AN12" s="1"/>
    </row>
    <row r="13" spans="1:40" ht="20.100000000000001" customHeight="1" x14ac:dyDescent="0.3">
      <c r="A13" s="33">
        <v>6</v>
      </c>
      <c r="B13" s="34"/>
      <c r="C13" s="35"/>
      <c r="D13" s="36"/>
      <c r="E13" s="36"/>
      <c r="F13" s="36"/>
      <c r="G13" s="36"/>
      <c r="H13" s="36"/>
      <c r="I13" s="36"/>
      <c r="J13" s="36"/>
      <c r="K13" s="36"/>
      <c r="L13" s="91"/>
      <c r="M13" s="35"/>
      <c r="N13" s="36"/>
      <c r="O13" s="36"/>
      <c r="P13" s="36"/>
      <c r="Q13" s="91"/>
      <c r="R13" s="35"/>
      <c r="S13" s="36"/>
      <c r="T13" s="36"/>
      <c r="U13" s="36"/>
      <c r="V13" s="36"/>
      <c r="W13" s="36"/>
      <c r="X13" s="91"/>
      <c r="Y13" s="35"/>
      <c r="Z13" s="36"/>
      <c r="AA13" s="91"/>
      <c r="AB13" s="66">
        <f t="shared" si="0"/>
        <v>0</v>
      </c>
      <c r="AC13" s="66">
        <f t="shared" si="1"/>
        <v>0</v>
      </c>
      <c r="AD13" s="67">
        <f t="shared" si="2"/>
        <v>0</v>
      </c>
      <c r="AE13" s="66">
        <f t="shared" si="3"/>
        <v>0</v>
      </c>
      <c r="AF13" s="65" t="str">
        <f t="shared" si="4"/>
        <v/>
      </c>
      <c r="AG13" s="63" t="str">
        <f t="shared" si="5"/>
        <v/>
      </c>
      <c r="AH13" s="64" t="str">
        <f t="shared" si="6"/>
        <v/>
      </c>
      <c r="AI13" s="63" t="str">
        <f t="shared" si="7"/>
        <v/>
      </c>
      <c r="AJ13" s="70" t="str">
        <f t="shared" si="8"/>
        <v/>
      </c>
      <c r="AK13" s="1"/>
      <c r="AL13" s="1"/>
      <c r="AM13" s="1"/>
      <c r="AN13" s="1"/>
    </row>
    <row r="14" spans="1:40" ht="20.100000000000001" customHeight="1" x14ac:dyDescent="0.3">
      <c r="A14" s="27">
        <v>7</v>
      </c>
      <c r="B14" s="38"/>
      <c r="C14" s="39"/>
      <c r="D14" s="40"/>
      <c r="E14" s="40"/>
      <c r="F14" s="40"/>
      <c r="G14" s="40"/>
      <c r="H14" s="40"/>
      <c r="I14" s="40"/>
      <c r="J14" s="40"/>
      <c r="K14" s="40"/>
      <c r="L14" s="92"/>
      <c r="M14" s="39"/>
      <c r="N14" s="40"/>
      <c r="O14" s="40"/>
      <c r="P14" s="40"/>
      <c r="Q14" s="92"/>
      <c r="R14" s="39"/>
      <c r="S14" s="40"/>
      <c r="T14" s="40"/>
      <c r="U14" s="40"/>
      <c r="V14" s="40"/>
      <c r="W14" s="40"/>
      <c r="X14" s="92"/>
      <c r="Y14" s="39"/>
      <c r="Z14" s="40"/>
      <c r="AA14" s="92"/>
      <c r="AB14" s="62">
        <f t="shared" si="0"/>
        <v>0</v>
      </c>
      <c r="AC14" s="62">
        <f t="shared" si="1"/>
        <v>0</v>
      </c>
      <c r="AD14" s="68">
        <f t="shared" si="2"/>
        <v>0</v>
      </c>
      <c r="AE14" s="62">
        <f t="shared" si="3"/>
        <v>0</v>
      </c>
      <c r="AF14" s="65" t="str">
        <f t="shared" si="4"/>
        <v/>
      </c>
      <c r="AG14" s="63" t="str">
        <f t="shared" si="5"/>
        <v/>
      </c>
      <c r="AH14" s="64" t="str">
        <f t="shared" si="6"/>
        <v/>
      </c>
      <c r="AI14" s="63" t="str">
        <f t="shared" si="7"/>
        <v/>
      </c>
      <c r="AJ14" s="70" t="str">
        <f t="shared" si="8"/>
        <v/>
      </c>
      <c r="AK14" s="1"/>
      <c r="AL14" s="1"/>
      <c r="AM14" s="1"/>
      <c r="AN14" s="1"/>
    </row>
    <row r="15" spans="1:40" ht="20.100000000000001" customHeight="1" x14ac:dyDescent="0.3">
      <c r="A15" s="33">
        <v>8</v>
      </c>
      <c r="B15" s="34"/>
      <c r="C15" s="35"/>
      <c r="D15" s="36"/>
      <c r="E15" s="36"/>
      <c r="F15" s="36"/>
      <c r="G15" s="36"/>
      <c r="H15" s="36"/>
      <c r="I15" s="36"/>
      <c r="J15" s="36"/>
      <c r="K15" s="36"/>
      <c r="L15" s="91"/>
      <c r="M15" s="35"/>
      <c r="N15" s="36"/>
      <c r="O15" s="36"/>
      <c r="P15" s="36"/>
      <c r="Q15" s="91"/>
      <c r="R15" s="35"/>
      <c r="S15" s="36"/>
      <c r="T15" s="36"/>
      <c r="U15" s="36"/>
      <c r="V15" s="36"/>
      <c r="W15" s="36"/>
      <c r="X15" s="91"/>
      <c r="Y15" s="35"/>
      <c r="Z15" s="36"/>
      <c r="AA15" s="91"/>
      <c r="AB15" s="66">
        <f t="shared" si="0"/>
        <v>0</v>
      </c>
      <c r="AC15" s="66">
        <f t="shared" si="1"/>
        <v>0</v>
      </c>
      <c r="AD15" s="67">
        <f t="shared" si="2"/>
        <v>0</v>
      </c>
      <c r="AE15" s="66">
        <f t="shared" si="3"/>
        <v>0</v>
      </c>
      <c r="AF15" s="65" t="str">
        <f t="shared" si="4"/>
        <v/>
      </c>
      <c r="AG15" s="63" t="str">
        <f t="shared" si="5"/>
        <v/>
      </c>
      <c r="AH15" s="64" t="str">
        <f t="shared" si="6"/>
        <v/>
      </c>
      <c r="AI15" s="63" t="str">
        <f t="shared" si="7"/>
        <v/>
      </c>
      <c r="AJ15" s="70" t="str">
        <f t="shared" si="8"/>
        <v/>
      </c>
      <c r="AK15" s="1"/>
      <c r="AL15" s="1"/>
      <c r="AM15" s="1"/>
      <c r="AN15" s="1"/>
    </row>
    <row r="16" spans="1:40" ht="20.100000000000001" customHeight="1" x14ac:dyDescent="0.3">
      <c r="A16" s="27">
        <v>9</v>
      </c>
      <c r="B16" s="38"/>
      <c r="C16" s="39"/>
      <c r="D16" s="40"/>
      <c r="E16" s="40"/>
      <c r="F16" s="40"/>
      <c r="G16" s="40"/>
      <c r="H16" s="40"/>
      <c r="I16" s="40"/>
      <c r="J16" s="40"/>
      <c r="K16" s="40"/>
      <c r="L16" s="92"/>
      <c r="M16" s="39"/>
      <c r="N16" s="40"/>
      <c r="O16" s="40"/>
      <c r="P16" s="40"/>
      <c r="Q16" s="92"/>
      <c r="R16" s="39"/>
      <c r="S16" s="40"/>
      <c r="T16" s="40"/>
      <c r="U16" s="40"/>
      <c r="V16" s="40"/>
      <c r="W16" s="40"/>
      <c r="X16" s="92"/>
      <c r="Y16" s="39"/>
      <c r="Z16" s="40"/>
      <c r="AA16" s="92"/>
      <c r="AB16" s="62">
        <f t="shared" si="0"/>
        <v>0</v>
      </c>
      <c r="AC16" s="62">
        <f t="shared" si="1"/>
        <v>0</v>
      </c>
      <c r="AD16" s="68">
        <f t="shared" si="2"/>
        <v>0</v>
      </c>
      <c r="AE16" s="62">
        <f t="shared" si="3"/>
        <v>0</v>
      </c>
      <c r="AF16" s="65" t="str">
        <f t="shared" si="4"/>
        <v/>
      </c>
      <c r="AG16" s="63" t="str">
        <f t="shared" si="5"/>
        <v/>
      </c>
      <c r="AH16" s="64" t="str">
        <f t="shared" si="6"/>
        <v/>
      </c>
      <c r="AI16" s="63" t="str">
        <f t="shared" si="7"/>
        <v/>
      </c>
      <c r="AJ16" s="70" t="str">
        <f t="shared" si="8"/>
        <v/>
      </c>
      <c r="AK16" s="1"/>
      <c r="AL16" s="1"/>
      <c r="AM16" s="1"/>
      <c r="AN16" s="1"/>
    </row>
    <row r="17" spans="1:40" ht="20.100000000000001" customHeight="1" x14ac:dyDescent="0.3">
      <c r="A17" s="33">
        <v>10</v>
      </c>
      <c r="B17" s="34"/>
      <c r="C17" s="35"/>
      <c r="D17" s="36"/>
      <c r="E17" s="36"/>
      <c r="F17" s="36"/>
      <c r="G17" s="36"/>
      <c r="H17" s="36"/>
      <c r="I17" s="36"/>
      <c r="J17" s="36"/>
      <c r="K17" s="36"/>
      <c r="L17" s="91"/>
      <c r="M17" s="35"/>
      <c r="N17" s="36"/>
      <c r="O17" s="36"/>
      <c r="P17" s="36"/>
      <c r="Q17" s="91"/>
      <c r="R17" s="35"/>
      <c r="S17" s="36"/>
      <c r="T17" s="36"/>
      <c r="U17" s="36"/>
      <c r="V17" s="36"/>
      <c r="W17" s="36"/>
      <c r="X17" s="91"/>
      <c r="Y17" s="35"/>
      <c r="Z17" s="36"/>
      <c r="AA17" s="91"/>
      <c r="AB17" s="66">
        <f t="shared" si="0"/>
        <v>0</v>
      </c>
      <c r="AC17" s="66">
        <f t="shared" si="1"/>
        <v>0</v>
      </c>
      <c r="AD17" s="67">
        <f t="shared" si="2"/>
        <v>0</v>
      </c>
      <c r="AE17" s="66">
        <f t="shared" si="3"/>
        <v>0</v>
      </c>
      <c r="AF17" s="65" t="str">
        <f t="shared" si="4"/>
        <v/>
      </c>
      <c r="AG17" s="63" t="str">
        <f t="shared" si="5"/>
        <v/>
      </c>
      <c r="AH17" s="64" t="str">
        <f t="shared" si="6"/>
        <v/>
      </c>
      <c r="AI17" s="63" t="str">
        <f t="shared" si="7"/>
        <v/>
      </c>
      <c r="AJ17" s="70" t="str">
        <f t="shared" si="8"/>
        <v/>
      </c>
      <c r="AK17" s="1"/>
      <c r="AL17" s="1"/>
      <c r="AM17" s="1"/>
      <c r="AN17" s="1"/>
    </row>
    <row r="18" spans="1:40" ht="20.100000000000001" customHeight="1" x14ac:dyDescent="0.3">
      <c r="A18" s="27">
        <v>11</v>
      </c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92"/>
      <c r="M18" s="39"/>
      <c r="N18" s="40"/>
      <c r="O18" s="40"/>
      <c r="P18" s="40"/>
      <c r="Q18" s="92"/>
      <c r="R18" s="39"/>
      <c r="S18" s="40"/>
      <c r="T18" s="40"/>
      <c r="U18" s="40"/>
      <c r="V18" s="40"/>
      <c r="W18" s="40"/>
      <c r="X18" s="92"/>
      <c r="Y18" s="39"/>
      <c r="Z18" s="40"/>
      <c r="AA18" s="92"/>
      <c r="AB18" s="62">
        <f t="shared" si="0"/>
        <v>0</v>
      </c>
      <c r="AC18" s="62">
        <f t="shared" si="1"/>
        <v>0</v>
      </c>
      <c r="AD18" s="68">
        <f t="shared" si="2"/>
        <v>0</v>
      </c>
      <c r="AE18" s="62">
        <f t="shared" si="3"/>
        <v>0</v>
      </c>
      <c r="AF18" s="65" t="str">
        <f t="shared" si="4"/>
        <v/>
      </c>
      <c r="AG18" s="63" t="str">
        <f t="shared" si="5"/>
        <v/>
      </c>
      <c r="AH18" s="64" t="str">
        <f t="shared" si="6"/>
        <v/>
      </c>
      <c r="AI18" s="63" t="str">
        <f t="shared" si="7"/>
        <v/>
      </c>
      <c r="AJ18" s="70" t="str">
        <f t="shared" si="8"/>
        <v/>
      </c>
      <c r="AK18" s="1"/>
      <c r="AL18" s="1"/>
      <c r="AM18" s="1"/>
      <c r="AN18" s="1"/>
    </row>
    <row r="19" spans="1:40" ht="20.100000000000001" customHeight="1" x14ac:dyDescent="0.3">
      <c r="A19" s="33">
        <v>12</v>
      </c>
      <c r="B19" s="34"/>
      <c r="C19" s="35"/>
      <c r="D19" s="36"/>
      <c r="E19" s="36"/>
      <c r="F19" s="36"/>
      <c r="G19" s="36"/>
      <c r="H19" s="36"/>
      <c r="I19" s="36"/>
      <c r="J19" s="36"/>
      <c r="K19" s="36"/>
      <c r="L19" s="91"/>
      <c r="M19" s="35"/>
      <c r="N19" s="36"/>
      <c r="O19" s="36"/>
      <c r="P19" s="36"/>
      <c r="Q19" s="91"/>
      <c r="R19" s="35"/>
      <c r="S19" s="36"/>
      <c r="T19" s="36"/>
      <c r="U19" s="36"/>
      <c r="V19" s="36"/>
      <c r="W19" s="36"/>
      <c r="X19" s="91"/>
      <c r="Y19" s="35"/>
      <c r="Z19" s="36"/>
      <c r="AA19" s="91"/>
      <c r="AB19" s="66">
        <f t="shared" si="0"/>
        <v>0</v>
      </c>
      <c r="AC19" s="66">
        <f t="shared" si="1"/>
        <v>0</v>
      </c>
      <c r="AD19" s="67">
        <f t="shared" si="2"/>
        <v>0</v>
      </c>
      <c r="AE19" s="66">
        <f t="shared" si="3"/>
        <v>0</v>
      </c>
      <c r="AF19" s="65" t="str">
        <f t="shared" si="4"/>
        <v/>
      </c>
      <c r="AG19" s="63" t="str">
        <f t="shared" si="5"/>
        <v/>
      </c>
      <c r="AH19" s="64" t="str">
        <f t="shared" si="6"/>
        <v/>
      </c>
      <c r="AI19" s="63" t="str">
        <f t="shared" si="7"/>
        <v/>
      </c>
      <c r="AJ19" s="70" t="str">
        <f t="shared" si="8"/>
        <v/>
      </c>
      <c r="AK19" s="1"/>
      <c r="AL19" s="1"/>
      <c r="AM19" s="1"/>
      <c r="AN19" s="1"/>
    </row>
    <row r="20" spans="1:40" ht="20.100000000000001" customHeight="1" x14ac:dyDescent="0.3">
      <c r="A20" s="27">
        <v>13</v>
      </c>
      <c r="B20" s="38"/>
      <c r="C20" s="39"/>
      <c r="D20" s="40"/>
      <c r="E20" s="40"/>
      <c r="F20" s="40"/>
      <c r="G20" s="40"/>
      <c r="H20" s="40"/>
      <c r="I20" s="40"/>
      <c r="J20" s="40"/>
      <c r="K20" s="40"/>
      <c r="L20" s="92"/>
      <c r="M20" s="39"/>
      <c r="N20" s="40"/>
      <c r="O20" s="40"/>
      <c r="P20" s="40"/>
      <c r="Q20" s="92"/>
      <c r="R20" s="39"/>
      <c r="S20" s="40"/>
      <c r="T20" s="40"/>
      <c r="U20" s="40"/>
      <c r="V20" s="40"/>
      <c r="W20" s="40"/>
      <c r="X20" s="92"/>
      <c r="Y20" s="39"/>
      <c r="Z20" s="40"/>
      <c r="AA20" s="92"/>
      <c r="AB20" s="62">
        <f t="shared" si="0"/>
        <v>0</v>
      </c>
      <c r="AC20" s="62">
        <f t="shared" si="1"/>
        <v>0</v>
      </c>
      <c r="AD20" s="68">
        <f t="shared" si="2"/>
        <v>0</v>
      </c>
      <c r="AE20" s="62">
        <f t="shared" si="3"/>
        <v>0</v>
      </c>
      <c r="AF20" s="65" t="str">
        <f t="shared" si="4"/>
        <v/>
      </c>
      <c r="AG20" s="63" t="str">
        <f t="shared" si="5"/>
        <v/>
      </c>
      <c r="AH20" s="64" t="str">
        <f t="shared" si="6"/>
        <v/>
      </c>
      <c r="AI20" s="63" t="str">
        <f t="shared" si="7"/>
        <v/>
      </c>
      <c r="AJ20" s="70" t="str">
        <f t="shared" si="8"/>
        <v/>
      </c>
      <c r="AK20" s="1"/>
      <c r="AL20" s="1"/>
      <c r="AM20" s="1"/>
      <c r="AN20" s="1"/>
    </row>
    <row r="21" spans="1:40" ht="20.100000000000001" customHeight="1" x14ac:dyDescent="0.3">
      <c r="A21" s="33">
        <v>14</v>
      </c>
      <c r="B21" s="34"/>
      <c r="C21" s="35"/>
      <c r="D21" s="36"/>
      <c r="E21" s="36"/>
      <c r="F21" s="36"/>
      <c r="G21" s="36"/>
      <c r="H21" s="36"/>
      <c r="I21" s="36"/>
      <c r="J21" s="36"/>
      <c r="K21" s="36"/>
      <c r="L21" s="91"/>
      <c r="M21" s="35"/>
      <c r="N21" s="36"/>
      <c r="O21" s="36"/>
      <c r="P21" s="36"/>
      <c r="Q21" s="91"/>
      <c r="R21" s="35"/>
      <c r="S21" s="36"/>
      <c r="T21" s="36"/>
      <c r="U21" s="36"/>
      <c r="V21" s="36"/>
      <c r="W21" s="36"/>
      <c r="X21" s="91"/>
      <c r="Y21" s="35"/>
      <c r="Z21" s="36"/>
      <c r="AA21" s="91"/>
      <c r="AB21" s="66">
        <f t="shared" si="0"/>
        <v>0</v>
      </c>
      <c r="AC21" s="66">
        <f t="shared" si="1"/>
        <v>0</v>
      </c>
      <c r="AD21" s="67">
        <f t="shared" si="2"/>
        <v>0</v>
      </c>
      <c r="AE21" s="66">
        <f t="shared" si="3"/>
        <v>0</v>
      </c>
      <c r="AF21" s="65" t="str">
        <f t="shared" si="4"/>
        <v/>
      </c>
      <c r="AG21" s="63" t="str">
        <f t="shared" si="5"/>
        <v/>
      </c>
      <c r="AH21" s="64" t="str">
        <f t="shared" si="6"/>
        <v/>
      </c>
      <c r="AI21" s="63" t="str">
        <f t="shared" si="7"/>
        <v/>
      </c>
      <c r="AJ21" s="70" t="str">
        <f t="shared" si="8"/>
        <v/>
      </c>
      <c r="AK21" s="1"/>
      <c r="AL21" s="1"/>
      <c r="AM21" s="1"/>
      <c r="AN21" s="1"/>
    </row>
    <row r="22" spans="1:40" ht="20.100000000000001" customHeight="1" x14ac:dyDescent="0.3">
      <c r="A22" s="27">
        <v>15</v>
      </c>
      <c r="B22" s="38"/>
      <c r="C22" s="39"/>
      <c r="D22" s="40"/>
      <c r="E22" s="40"/>
      <c r="F22" s="40"/>
      <c r="G22" s="40"/>
      <c r="H22" s="40"/>
      <c r="I22" s="40"/>
      <c r="J22" s="40"/>
      <c r="K22" s="40"/>
      <c r="L22" s="92"/>
      <c r="M22" s="39"/>
      <c r="N22" s="40"/>
      <c r="O22" s="40"/>
      <c r="P22" s="40"/>
      <c r="Q22" s="92"/>
      <c r="R22" s="39"/>
      <c r="S22" s="40"/>
      <c r="T22" s="40"/>
      <c r="U22" s="40"/>
      <c r="V22" s="40"/>
      <c r="W22" s="40"/>
      <c r="X22" s="92"/>
      <c r="Y22" s="39"/>
      <c r="Z22" s="40"/>
      <c r="AA22" s="92"/>
      <c r="AB22" s="62">
        <f t="shared" si="0"/>
        <v>0</v>
      </c>
      <c r="AC22" s="62">
        <f t="shared" si="1"/>
        <v>0</v>
      </c>
      <c r="AD22" s="68">
        <f t="shared" si="2"/>
        <v>0</v>
      </c>
      <c r="AE22" s="62">
        <f t="shared" si="3"/>
        <v>0</v>
      </c>
      <c r="AF22" s="65" t="str">
        <f t="shared" si="4"/>
        <v/>
      </c>
      <c r="AG22" s="63" t="str">
        <f t="shared" si="5"/>
        <v/>
      </c>
      <c r="AH22" s="64" t="str">
        <f t="shared" si="6"/>
        <v/>
      </c>
      <c r="AI22" s="63" t="str">
        <f t="shared" si="7"/>
        <v/>
      </c>
      <c r="AJ22" s="70" t="str">
        <f t="shared" si="8"/>
        <v/>
      </c>
      <c r="AK22" s="1"/>
      <c r="AL22" s="1"/>
      <c r="AM22" s="1"/>
      <c r="AN22" s="1"/>
    </row>
    <row r="23" spans="1:40" ht="20.100000000000001" customHeight="1" x14ac:dyDescent="0.3">
      <c r="A23" s="33">
        <v>16</v>
      </c>
      <c r="B23" s="34"/>
      <c r="C23" s="35"/>
      <c r="D23" s="36"/>
      <c r="E23" s="36"/>
      <c r="F23" s="36"/>
      <c r="G23" s="36"/>
      <c r="H23" s="36"/>
      <c r="I23" s="36"/>
      <c r="J23" s="36"/>
      <c r="K23" s="36"/>
      <c r="L23" s="91"/>
      <c r="M23" s="35"/>
      <c r="N23" s="36"/>
      <c r="O23" s="36"/>
      <c r="P23" s="36"/>
      <c r="Q23" s="91"/>
      <c r="R23" s="35"/>
      <c r="S23" s="36"/>
      <c r="T23" s="36"/>
      <c r="U23" s="36"/>
      <c r="V23" s="36"/>
      <c r="W23" s="36"/>
      <c r="X23" s="91"/>
      <c r="Y23" s="35"/>
      <c r="Z23" s="36"/>
      <c r="AA23" s="91"/>
      <c r="AB23" s="66">
        <f t="shared" si="0"/>
        <v>0</v>
      </c>
      <c r="AC23" s="66">
        <f t="shared" si="1"/>
        <v>0</v>
      </c>
      <c r="AD23" s="67">
        <f t="shared" si="2"/>
        <v>0</v>
      </c>
      <c r="AE23" s="66">
        <f t="shared" si="3"/>
        <v>0</v>
      </c>
      <c r="AF23" s="65" t="str">
        <f t="shared" si="4"/>
        <v/>
      </c>
      <c r="AG23" s="63" t="str">
        <f t="shared" si="5"/>
        <v/>
      </c>
      <c r="AH23" s="64" t="str">
        <f t="shared" si="6"/>
        <v/>
      </c>
      <c r="AI23" s="63" t="str">
        <f t="shared" si="7"/>
        <v/>
      </c>
      <c r="AJ23" s="70" t="str">
        <f t="shared" si="8"/>
        <v/>
      </c>
      <c r="AK23" s="1"/>
      <c r="AL23" s="1"/>
      <c r="AM23" s="1"/>
      <c r="AN23" s="1" t="s">
        <v>30</v>
      </c>
    </row>
    <row r="24" spans="1:40" ht="20.100000000000001" customHeight="1" x14ac:dyDescent="0.3">
      <c r="A24" s="27">
        <v>17</v>
      </c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92"/>
      <c r="M24" s="39"/>
      <c r="N24" s="40"/>
      <c r="O24" s="40"/>
      <c r="P24" s="40"/>
      <c r="Q24" s="92"/>
      <c r="R24" s="39"/>
      <c r="S24" s="40"/>
      <c r="T24" s="40"/>
      <c r="U24" s="40"/>
      <c r="V24" s="40"/>
      <c r="W24" s="40"/>
      <c r="X24" s="92"/>
      <c r="Y24" s="39"/>
      <c r="Z24" s="40"/>
      <c r="AA24" s="92"/>
      <c r="AB24" s="62">
        <f t="shared" si="0"/>
        <v>0</v>
      </c>
      <c r="AC24" s="62">
        <f t="shared" si="1"/>
        <v>0</v>
      </c>
      <c r="AD24" s="68">
        <f t="shared" si="2"/>
        <v>0</v>
      </c>
      <c r="AE24" s="62">
        <f t="shared" si="3"/>
        <v>0</v>
      </c>
      <c r="AF24" s="65" t="str">
        <f t="shared" si="4"/>
        <v/>
      </c>
      <c r="AG24" s="63" t="str">
        <f t="shared" si="5"/>
        <v/>
      </c>
      <c r="AH24" s="64" t="str">
        <f t="shared" si="6"/>
        <v/>
      </c>
      <c r="AI24" s="63" t="str">
        <f t="shared" si="7"/>
        <v/>
      </c>
      <c r="AJ24" s="70" t="str">
        <f t="shared" si="8"/>
        <v/>
      </c>
      <c r="AK24" s="1"/>
      <c r="AL24" s="1"/>
      <c r="AM24" s="1"/>
      <c r="AN24" s="1"/>
    </row>
    <row r="25" spans="1:40" ht="20.100000000000001" customHeight="1" x14ac:dyDescent="0.3">
      <c r="A25" s="33">
        <v>18</v>
      </c>
      <c r="B25" s="34"/>
      <c r="C25" s="35"/>
      <c r="D25" s="36"/>
      <c r="E25" s="36"/>
      <c r="F25" s="36"/>
      <c r="G25" s="36"/>
      <c r="H25" s="36"/>
      <c r="I25" s="36"/>
      <c r="J25" s="36"/>
      <c r="K25" s="36"/>
      <c r="L25" s="91"/>
      <c r="M25" s="35"/>
      <c r="N25" s="36"/>
      <c r="O25" s="36"/>
      <c r="P25" s="36"/>
      <c r="Q25" s="91"/>
      <c r="R25" s="35"/>
      <c r="S25" s="36"/>
      <c r="T25" s="36"/>
      <c r="U25" s="36"/>
      <c r="V25" s="36"/>
      <c r="W25" s="36"/>
      <c r="X25" s="91"/>
      <c r="Y25" s="35"/>
      <c r="Z25" s="36"/>
      <c r="AA25" s="91"/>
      <c r="AB25" s="66">
        <f t="shared" si="0"/>
        <v>0</v>
      </c>
      <c r="AC25" s="66">
        <f t="shared" si="1"/>
        <v>0</v>
      </c>
      <c r="AD25" s="67">
        <f t="shared" si="2"/>
        <v>0</v>
      </c>
      <c r="AE25" s="66">
        <f t="shared" si="3"/>
        <v>0</v>
      </c>
      <c r="AF25" s="65" t="str">
        <f t="shared" si="4"/>
        <v/>
      </c>
      <c r="AG25" s="63" t="str">
        <f t="shared" si="5"/>
        <v/>
      </c>
      <c r="AH25" s="64" t="str">
        <f t="shared" si="6"/>
        <v/>
      </c>
      <c r="AI25" s="63" t="str">
        <f t="shared" si="7"/>
        <v/>
      </c>
      <c r="AJ25" s="70" t="str">
        <f t="shared" si="8"/>
        <v/>
      </c>
      <c r="AK25" s="1"/>
      <c r="AL25" s="1"/>
      <c r="AM25" s="1"/>
      <c r="AN25" s="1"/>
    </row>
    <row r="26" spans="1:40" ht="20.100000000000001" customHeight="1" x14ac:dyDescent="0.3">
      <c r="A26" s="27">
        <v>19</v>
      </c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92"/>
      <c r="M26" s="39"/>
      <c r="N26" s="40"/>
      <c r="O26" s="40"/>
      <c r="P26" s="40"/>
      <c r="Q26" s="92"/>
      <c r="R26" s="39"/>
      <c r="S26" s="40"/>
      <c r="T26" s="40"/>
      <c r="U26" s="40"/>
      <c r="V26" s="40"/>
      <c r="W26" s="40"/>
      <c r="X26" s="92"/>
      <c r="Y26" s="39"/>
      <c r="Z26" s="40"/>
      <c r="AA26" s="92"/>
      <c r="AB26" s="62">
        <f t="shared" si="0"/>
        <v>0</v>
      </c>
      <c r="AC26" s="62">
        <f t="shared" si="1"/>
        <v>0</v>
      </c>
      <c r="AD26" s="68">
        <f t="shared" si="2"/>
        <v>0</v>
      </c>
      <c r="AE26" s="62">
        <f t="shared" si="3"/>
        <v>0</v>
      </c>
      <c r="AF26" s="65" t="str">
        <f t="shared" si="4"/>
        <v/>
      </c>
      <c r="AG26" s="63" t="str">
        <f t="shared" si="5"/>
        <v/>
      </c>
      <c r="AH26" s="64" t="str">
        <f t="shared" si="6"/>
        <v/>
      </c>
      <c r="AI26" s="63" t="str">
        <f t="shared" si="7"/>
        <v/>
      </c>
      <c r="AJ26" s="70" t="str">
        <f t="shared" si="8"/>
        <v/>
      </c>
      <c r="AK26" s="1"/>
      <c r="AL26" s="1"/>
      <c r="AM26" s="1"/>
      <c r="AN26" s="1"/>
    </row>
    <row r="27" spans="1:40" ht="20.100000000000001" customHeight="1" x14ac:dyDescent="0.3">
      <c r="A27" s="33">
        <v>20</v>
      </c>
      <c r="B27" s="34"/>
      <c r="C27" s="35"/>
      <c r="D27" s="36"/>
      <c r="E27" s="36"/>
      <c r="F27" s="36"/>
      <c r="G27" s="36"/>
      <c r="H27" s="36"/>
      <c r="I27" s="36"/>
      <c r="J27" s="36"/>
      <c r="K27" s="36"/>
      <c r="L27" s="91"/>
      <c r="M27" s="35"/>
      <c r="N27" s="36"/>
      <c r="O27" s="36"/>
      <c r="P27" s="36"/>
      <c r="Q27" s="91"/>
      <c r="R27" s="35"/>
      <c r="S27" s="36"/>
      <c r="T27" s="36"/>
      <c r="U27" s="36"/>
      <c r="V27" s="36"/>
      <c r="W27" s="36"/>
      <c r="X27" s="91"/>
      <c r="Y27" s="35"/>
      <c r="Z27" s="36"/>
      <c r="AA27" s="91"/>
      <c r="AB27" s="66">
        <f t="shared" si="0"/>
        <v>0</v>
      </c>
      <c r="AC27" s="66">
        <f t="shared" si="1"/>
        <v>0</v>
      </c>
      <c r="AD27" s="67">
        <f t="shared" si="2"/>
        <v>0</v>
      </c>
      <c r="AE27" s="66">
        <f t="shared" si="3"/>
        <v>0</v>
      </c>
      <c r="AF27" s="65" t="str">
        <f t="shared" si="4"/>
        <v/>
      </c>
      <c r="AG27" s="63" t="str">
        <f t="shared" si="5"/>
        <v/>
      </c>
      <c r="AH27" s="64" t="str">
        <f t="shared" si="6"/>
        <v/>
      </c>
      <c r="AI27" s="63" t="str">
        <f t="shared" si="7"/>
        <v/>
      </c>
      <c r="AJ27" s="70" t="str">
        <f t="shared" si="8"/>
        <v/>
      </c>
      <c r="AK27" s="1"/>
      <c r="AL27" s="1"/>
      <c r="AM27" s="1"/>
      <c r="AN27" s="1"/>
    </row>
    <row r="28" spans="1:40" ht="20.100000000000001" customHeight="1" x14ac:dyDescent="0.3">
      <c r="A28" s="27">
        <v>21</v>
      </c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92"/>
      <c r="M28" s="39"/>
      <c r="N28" s="40"/>
      <c r="O28" s="40"/>
      <c r="P28" s="40"/>
      <c r="Q28" s="92"/>
      <c r="R28" s="39"/>
      <c r="S28" s="40"/>
      <c r="T28" s="40"/>
      <c r="U28" s="40"/>
      <c r="V28" s="40"/>
      <c r="W28" s="40"/>
      <c r="X28" s="92"/>
      <c r="Y28" s="39"/>
      <c r="Z28" s="40"/>
      <c r="AA28" s="92"/>
      <c r="AB28" s="62">
        <f t="shared" si="0"/>
        <v>0</v>
      </c>
      <c r="AC28" s="62">
        <f t="shared" si="1"/>
        <v>0</v>
      </c>
      <c r="AD28" s="68">
        <f t="shared" si="2"/>
        <v>0</v>
      </c>
      <c r="AE28" s="62">
        <f t="shared" si="3"/>
        <v>0</v>
      </c>
      <c r="AF28" s="65" t="str">
        <f t="shared" si="4"/>
        <v/>
      </c>
      <c r="AG28" s="63" t="str">
        <f t="shared" si="5"/>
        <v/>
      </c>
      <c r="AH28" s="64" t="str">
        <f t="shared" si="6"/>
        <v/>
      </c>
      <c r="AI28" s="63" t="str">
        <f t="shared" si="7"/>
        <v/>
      </c>
      <c r="AJ28" s="70" t="str">
        <f t="shared" si="8"/>
        <v/>
      </c>
      <c r="AK28" s="1"/>
      <c r="AL28" s="1"/>
      <c r="AM28" s="1"/>
      <c r="AN28" s="1"/>
    </row>
    <row r="29" spans="1:40" ht="20.100000000000001" customHeight="1" x14ac:dyDescent="0.3">
      <c r="A29" s="33">
        <v>22</v>
      </c>
      <c r="B29" s="34"/>
      <c r="C29" s="35"/>
      <c r="D29" s="36"/>
      <c r="E29" s="36"/>
      <c r="F29" s="36"/>
      <c r="G29" s="36"/>
      <c r="H29" s="36"/>
      <c r="I29" s="36"/>
      <c r="J29" s="36"/>
      <c r="K29" s="36"/>
      <c r="L29" s="91"/>
      <c r="M29" s="35"/>
      <c r="N29" s="36"/>
      <c r="O29" s="36"/>
      <c r="P29" s="36"/>
      <c r="Q29" s="91"/>
      <c r="R29" s="35"/>
      <c r="S29" s="36"/>
      <c r="T29" s="36"/>
      <c r="U29" s="36"/>
      <c r="V29" s="36"/>
      <c r="W29" s="36"/>
      <c r="X29" s="91"/>
      <c r="Y29" s="35"/>
      <c r="Z29" s="36"/>
      <c r="AA29" s="91"/>
      <c r="AB29" s="66">
        <f t="shared" si="0"/>
        <v>0</v>
      </c>
      <c r="AC29" s="66">
        <f t="shared" si="1"/>
        <v>0</v>
      </c>
      <c r="AD29" s="67">
        <f t="shared" si="2"/>
        <v>0</v>
      </c>
      <c r="AE29" s="66">
        <f t="shared" si="3"/>
        <v>0</v>
      </c>
      <c r="AF29" s="65" t="str">
        <f t="shared" si="4"/>
        <v/>
      </c>
      <c r="AG29" s="63" t="str">
        <f t="shared" si="5"/>
        <v/>
      </c>
      <c r="AH29" s="64" t="str">
        <f t="shared" si="6"/>
        <v/>
      </c>
      <c r="AI29" s="63" t="str">
        <f t="shared" si="7"/>
        <v/>
      </c>
      <c r="AJ29" s="70" t="str">
        <f t="shared" si="8"/>
        <v/>
      </c>
      <c r="AK29" s="1"/>
      <c r="AL29" s="1"/>
      <c r="AM29" s="1"/>
      <c r="AN29" s="1"/>
    </row>
    <row r="30" spans="1:40" ht="20.100000000000001" customHeight="1" x14ac:dyDescent="0.3">
      <c r="A30" s="27">
        <v>23</v>
      </c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92"/>
      <c r="M30" s="39"/>
      <c r="N30" s="40"/>
      <c r="O30" s="40"/>
      <c r="P30" s="40"/>
      <c r="Q30" s="92"/>
      <c r="R30" s="39"/>
      <c r="S30" s="40"/>
      <c r="T30" s="40"/>
      <c r="U30" s="40"/>
      <c r="V30" s="40"/>
      <c r="W30" s="40"/>
      <c r="X30" s="92"/>
      <c r="Y30" s="39"/>
      <c r="Z30" s="40"/>
      <c r="AA30" s="92"/>
      <c r="AB30" s="62">
        <f t="shared" si="0"/>
        <v>0</v>
      </c>
      <c r="AC30" s="62">
        <f t="shared" si="1"/>
        <v>0</v>
      </c>
      <c r="AD30" s="68">
        <f t="shared" si="2"/>
        <v>0</v>
      </c>
      <c r="AE30" s="62">
        <f t="shared" si="3"/>
        <v>0</v>
      </c>
      <c r="AF30" s="65" t="str">
        <f t="shared" si="4"/>
        <v/>
      </c>
      <c r="AG30" s="63" t="str">
        <f t="shared" si="5"/>
        <v/>
      </c>
      <c r="AH30" s="64" t="str">
        <f t="shared" si="6"/>
        <v/>
      </c>
      <c r="AI30" s="63" t="str">
        <f t="shared" si="7"/>
        <v/>
      </c>
      <c r="AJ30" s="70" t="str">
        <f t="shared" si="8"/>
        <v/>
      </c>
      <c r="AK30" s="1"/>
      <c r="AL30" s="1"/>
      <c r="AM30" s="1"/>
      <c r="AN30" s="1"/>
    </row>
    <row r="31" spans="1:40" ht="20.100000000000001" customHeight="1" x14ac:dyDescent="0.3">
      <c r="A31" s="33">
        <v>24</v>
      </c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91"/>
      <c r="M31" s="35"/>
      <c r="N31" s="36"/>
      <c r="O31" s="36"/>
      <c r="P31" s="36"/>
      <c r="Q31" s="91"/>
      <c r="R31" s="35"/>
      <c r="S31" s="36"/>
      <c r="T31" s="36"/>
      <c r="U31" s="36"/>
      <c r="V31" s="36"/>
      <c r="W31" s="36"/>
      <c r="X31" s="91"/>
      <c r="Y31" s="35"/>
      <c r="Z31" s="36"/>
      <c r="AA31" s="91"/>
      <c r="AB31" s="66">
        <f t="shared" si="0"/>
        <v>0</v>
      </c>
      <c r="AC31" s="66">
        <f t="shared" si="1"/>
        <v>0</v>
      </c>
      <c r="AD31" s="67">
        <f t="shared" si="2"/>
        <v>0</v>
      </c>
      <c r="AE31" s="66">
        <f t="shared" si="3"/>
        <v>0</v>
      </c>
      <c r="AF31" s="65" t="str">
        <f t="shared" si="4"/>
        <v/>
      </c>
      <c r="AG31" s="63" t="str">
        <f t="shared" si="5"/>
        <v/>
      </c>
      <c r="AH31" s="64" t="str">
        <f t="shared" si="6"/>
        <v/>
      </c>
      <c r="AI31" s="63" t="str">
        <f t="shared" si="7"/>
        <v/>
      </c>
      <c r="AJ31" s="70" t="str">
        <f t="shared" si="8"/>
        <v/>
      </c>
      <c r="AK31" s="1"/>
      <c r="AL31" s="1"/>
      <c r="AM31" s="1"/>
      <c r="AN31" s="1"/>
    </row>
    <row r="32" spans="1:40" ht="20.100000000000001" customHeight="1" x14ac:dyDescent="0.3">
      <c r="A32" s="27">
        <v>25</v>
      </c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92"/>
      <c r="M32" s="39"/>
      <c r="N32" s="40"/>
      <c r="O32" s="40"/>
      <c r="P32" s="40"/>
      <c r="Q32" s="92"/>
      <c r="R32" s="39"/>
      <c r="S32" s="40"/>
      <c r="T32" s="40"/>
      <c r="U32" s="40"/>
      <c r="V32" s="40"/>
      <c r="W32" s="40"/>
      <c r="X32" s="92"/>
      <c r="Y32" s="39"/>
      <c r="Z32" s="40"/>
      <c r="AA32" s="92"/>
      <c r="AB32" s="62">
        <f t="shared" si="0"/>
        <v>0</v>
      </c>
      <c r="AC32" s="62">
        <f t="shared" si="1"/>
        <v>0</v>
      </c>
      <c r="AD32" s="68">
        <f t="shared" si="2"/>
        <v>0</v>
      </c>
      <c r="AE32" s="62">
        <f t="shared" si="3"/>
        <v>0</v>
      </c>
      <c r="AF32" s="65" t="str">
        <f t="shared" si="4"/>
        <v/>
      </c>
      <c r="AG32" s="63" t="str">
        <f t="shared" si="5"/>
        <v/>
      </c>
      <c r="AH32" s="64" t="str">
        <f t="shared" si="6"/>
        <v/>
      </c>
      <c r="AI32" s="63" t="str">
        <f t="shared" si="7"/>
        <v/>
      </c>
      <c r="AJ32" s="70" t="str">
        <f t="shared" si="8"/>
        <v/>
      </c>
      <c r="AK32" s="1"/>
      <c r="AL32" s="1"/>
      <c r="AM32" s="1"/>
      <c r="AN32" s="1"/>
    </row>
    <row r="33" spans="1:40" ht="20.100000000000001" customHeight="1" x14ac:dyDescent="0.3">
      <c r="A33" s="33">
        <v>26</v>
      </c>
      <c r="B33" s="34"/>
      <c r="C33" s="35"/>
      <c r="D33" s="36"/>
      <c r="E33" s="36"/>
      <c r="F33" s="36"/>
      <c r="G33" s="36"/>
      <c r="H33" s="36"/>
      <c r="I33" s="36"/>
      <c r="J33" s="36"/>
      <c r="K33" s="36"/>
      <c r="L33" s="91"/>
      <c r="M33" s="35"/>
      <c r="N33" s="36"/>
      <c r="O33" s="36"/>
      <c r="P33" s="36"/>
      <c r="Q33" s="91"/>
      <c r="R33" s="35"/>
      <c r="S33" s="36"/>
      <c r="T33" s="36"/>
      <c r="U33" s="36"/>
      <c r="V33" s="36"/>
      <c r="W33" s="36"/>
      <c r="X33" s="91"/>
      <c r="Y33" s="35"/>
      <c r="Z33" s="36"/>
      <c r="AA33" s="91"/>
      <c r="AB33" s="66">
        <f t="shared" si="0"/>
        <v>0</v>
      </c>
      <c r="AC33" s="66">
        <f t="shared" si="1"/>
        <v>0</v>
      </c>
      <c r="AD33" s="67">
        <f t="shared" si="2"/>
        <v>0</v>
      </c>
      <c r="AE33" s="66">
        <f t="shared" si="3"/>
        <v>0</v>
      </c>
      <c r="AF33" s="65" t="str">
        <f t="shared" si="4"/>
        <v/>
      </c>
      <c r="AG33" s="63" t="str">
        <f t="shared" si="5"/>
        <v/>
      </c>
      <c r="AH33" s="64" t="str">
        <f t="shared" si="6"/>
        <v/>
      </c>
      <c r="AI33" s="63" t="str">
        <f t="shared" si="7"/>
        <v/>
      </c>
      <c r="AJ33" s="70" t="str">
        <f t="shared" si="8"/>
        <v/>
      </c>
      <c r="AK33" s="1"/>
      <c r="AL33" s="1"/>
      <c r="AM33" s="1"/>
      <c r="AN33" s="1"/>
    </row>
    <row r="34" spans="1:40" ht="20.100000000000001" customHeight="1" x14ac:dyDescent="0.3">
      <c r="A34" s="27">
        <v>27</v>
      </c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92"/>
      <c r="M34" s="39"/>
      <c r="N34" s="40"/>
      <c r="O34" s="40"/>
      <c r="P34" s="40"/>
      <c r="Q34" s="92"/>
      <c r="R34" s="39"/>
      <c r="S34" s="40"/>
      <c r="T34" s="40"/>
      <c r="U34" s="40"/>
      <c r="V34" s="40"/>
      <c r="W34" s="40"/>
      <c r="X34" s="92"/>
      <c r="Y34" s="39"/>
      <c r="Z34" s="40"/>
      <c r="AA34" s="92"/>
      <c r="AB34" s="62">
        <f t="shared" si="0"/>
        <v>0</v>
      </c>
      <c r="AC34" s="62">
        <f t="shared" si="1"/>
        <v>0</v>
      </c>
      <c r="AD34" s="68">
        <f t="shared" si="2"/>
        <v>0</v>
      </c>
      <c r="AE34" s="62">
        <f t="shared" si="3"/>
        <v>0</v>
      </c>
      <c r="AF34" s="65" t="str">
        <f t="shared" si="4"/>
        <v/>
      </c>
      <c r="AG34" s="63" t="str">
        <f t="shared" si="5"/>
        <v/>
      </c>
      <c r="AH34" s="64" t="str">
        <f t="shared" si="6"/>
        <v/>
      </c>
      <c r="AI34" s="63" t="str">
        <f t="shared" si="7"/>
        <v/>
      </c>
      <c r="AJ34" s="70" t="str">
        <f t="shared" si="8"/>
        <v/>
      </c>
      <c r="AK34" s="1"/>
      <c r="AL34" s="1"/>
      <c r="AM34" s="1"/>
      <c r="AN34" s="1"/>
    </row>
    <row r="35" spans="1:40" ht="20.100000000000001" customHeight="1" x14ac:dyDescent="0.3">
      <c r="A35" s="33">
        <v>28</v>
      </c>
      <c r="B35" s="34"/>
      <c r="C35" s="35"/>
      <c r="D35" s="36"/>
      <c r="E35" s="36"/>
      <c r="F35" s="36"/>
      <c r="G35" s="36"/>
      <c r="H35" s="36"/>
      <c r="I35" s="36"/>
      <c r="J35" s="36"/>
      <c r="K35" s="36"/>
      <c r="L35" s="91"/>
      <c r="M35" s="35"/>
      <c r="N35" s="36"/>
      <c r="O35" s="36"/>
      <c r="P35" s="36"/>
      <c r="Q35" s="91"/>
      <c r="R35" s="35"/>
      <c r="S35" s="36"/>
      <c r="T35" s="36"/>
      <c r="U35" s="36"/>
      <c r="V35" s="36"/>
      <c r="W35" s="36"/>
      <c r="X35" s="91"/>
      <c r="Y35" s="35"/>
      <c r="Z35" s="36"/>
      <c r="AA35" s="91"/>
      <c r="AB35" s="66">
        <f t="shared" si="0"/>
        <v>0</v>
      </c>
      <c r="AC35" s="66">
        <f t="shared" si="1"/>
        <v>0</v>
      </c>
      <c r="AD35" s="67">
        <f t="shared" si="2"/>
        <v>0</v>
      </c>
      <c r="AE35" s="66">
        <f t="shared" si="3"/>
        <v>0</v>
      </c>
      <c r="AF35" s="65" t="str">
        <f t="shared" si="4"/>
        <v/>
      </c>
      <c r="AG35" s="63" t="str">
        <f t="shared" si="5"/>
        <v/>
      </c>
      <c r="AH35" s="64" t="str">
        <f t="shared" si="6"/>
        <v/>
      </c>
      <c r="AI35" s="63" t="str">
        <f t="shared" si="7"/>
        <v/>
      </c>
      <c r="AJ35" s="70" t="str">
        <f t="shared" si="8"/>
        <v/>
      </c>
      <c r="AK35" s="1"/>
      <c r="AL35" s="1"/>
      <c r="AM35" s="1"/>
      <c r="AN35" s="1"/>
    </row>
    <row r="36" spans="1:40" ht="20.100000000000001" customHeight="1" x14ac:dyDescent="0.3">
      <c r="A36" s="27">
        <v>29</v>
      </c>
      <c r="B36" s="38"/>
      <c r="C36" s="39"/>
      <c r="D36" s="40"/>
      <c r="E36" s="40"/>
      <c r="F36" s="40"/>
      <c r="G36" s="40"/>
      <c r="H36" s="40"/>
      <c r="I36" s="40"/>
      <c r="J36" s="40"/>
      <c r="K36" s="40"/>
      <c r="L36" s="92"/>
      <c r="M36" s="39"/>
      <c r="N36" s="40"/>
      <c r="O36" s="40"/>
      <c r="P36" s="40"/>
      <c r="Q36" s="92"/>
      <c r="R36" s="39"/>
      <c r="S36" s="40"/>
      <c r="T36" s="40"/>
      <c r="U36" s="40"/>
      <c r="V36" s="40"/>
      <c r="W36" s="40"/>
      <c r="X36" s="92"/>
      <c r="Y36" s="39"/>
      <c r="Z36" s="40"/>
      <c r="AA36" s="92"/>
      <c r="AB36" s="62">
        <f t="shared" si="0"/>
        <v>0</v>
      </c>
      <c r="AC36" s="62">
        <f t="shared" si="1"/>
        <v>0</v>
      </c>
      <c r="AD36" s="68">
        <f t="shared" si="2"/>
        <v>0</v>
      </c>
      <c r="AE36" s="62">
        <f t="shared" si="3"/>
        <v>0</v>
      </c>
      <c r="AF36" s="65" t="str">
        <f t="shared" si="4"/>
        <v/>
      </c>
      <c r="AG36" s="63" t="str">
        <f t="shared" si="5"/>
        <v/>
      </c>
      <c r="AH36" s="64" t="str">
        <f t="shared" si="6"/>
        <v/>
      </c>
      <c r="AI36" s="63" t="str">
        <f t="shared" si="7"/>
        <v/>
      </c>
      <c r="AJ36" s="70" t="str">
        <f t="shared" si="8"/>
        <v/>
      </c>
      <c r="AK36" s="1"/>
      <c r="AL36" s="1"/>
      <c r="AM36" s="1"/>
      <c r="AN36" s="1"/>
    </row>
    <row r="37" spans="1:40" ht="20.100000000000001" customHeight="1" x14ac:dyDescent="0.3">
      <c r="A37" s="33">
        <v>30</v>
      </c>
      <c r="B37" s="34"/>
      <c r="C37" s="35"/>
      <c r="D37" s="36"/>
      <c r="E37" s="36"/>
      <c r="F37" s="36"/>
      <c r="G37" s="36"/>
      <c r="H37" s="36"/>
      <c r="I37" s="36"/>
      <c r="J37" s="36"/>
      <c r="K37" s="36"/>
      <c r="L37" s="91"/>
      <c r="M37" s="35"/>
      <c r="N37" s="36"/>
      <c r="O37" s="36"/>
      <c r="P37" s="36"/>
      <c r="Q37" s="91"/>
      <c r="R37" s="35"/>
      <c r="S37" s="36"/>
      <c r="T37" s="36"/>
      <c r="U37" s="36"/>
      <c r="V37" s="36"/>
      <c r="W37" s="36"/>
      <c r="X37" s="91"/>
      <c r="Y37" s="35"/>
      <c r="Z37" s="36"/>
      <c r="AA37" s="91"/>
      <c r="AB37" s="66">
        <f t="shared" si="0"/>
        <v>0</v>
      </c>
      <c r="AC37" s="66">
        <f t="shared" si="1"/>
        <v>0</v>
      </c>
      <c r="AD37" s="67">
        <f t="shared" si="2"/>
        <v>0</v>
      </c>
      <c r="AE37" s="66">
        <f t="shared" si="3"/>
        <v>0</v>
      </c>
      <c r="AF37" s="65" t="str">
        <f t="shared" si="4"/>
        <v/>
      </c>
      <c r="AG37" s="63" t="str">
        <f t="shared" si="5"/>
        <v/>
      </c>
      <c r="AH37" s="64" t="str">
        <f t="shared" si="6"/>
        <v/>
      </c>
      <c r="AI37" s="63" t="str">
        <f t="shared" si="7"/>
        <v/>
      </c>
      <c r="AJ37" s="70" t="str">
        <f t="shared" si="8"/>
        <v/>
      </c>
      <c r="AK37" s="1"/>
      <c r="AL37" s="1"/>
      <c r="AM37" s="1"/>
      <c r="AN37" s="1"/>
    </row>
    <row r="38" spans="1:40" ht="20.100000000000001" customHeight="1" x14ac:dyDescent="0.3">
      <c r="A38" s="27">
        <v>31</v>
      </c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92"/>
      <c r="M38" s="39"/>
      <c r="N38" s="40"/>
      <c r="O38" s="40"/>
      <c r="P38" s="40"/>
      <c r="Q38" s="92"/>
      <c r="R38" s="39"/>
      <c r="S38" s="40"/>
      <c r="T38" s="40"/>
      <c r="U38" s="40"/>
      <c r="V38" s="40"/>
      <c r="W38" s="40"/>
      <c r="X38" s="92"/>
      <c r="Y38" s="39"/>
      <c r="Z38" s="40"/>
      <c r="AA38" s="92"/>
      <c r="AB38" s="62">
        <f t="shared" si="0"/>
        <v>0</v>
      </c>
      <c r="AC38" s="62">
        <f t="shared" si="1"/>
        <v>0</v>
      </c>
      <c r="AD38" s="68">
        <f t="shared" si="2"/>
        <v>0</v>
      </c>
      <c r="AE38" s="62">
        <f t="shared" si="3"/>
        <v>0</v>
      </c>
      <c r="AF38" s="65" t="str">
        <f t="shared" si="4"/>
        <v/>
      </c>
      <c r="AG38" s="63" t="str">
        <f t="shared" si="5"/>
        <v/>
      </c>
      <c r="AH38" s="64" t="str">
        <f t="shared" si="6"/>
        <v/>
      </c>
      <c r="AI38" s="63" t="str">
        <f t="shared" si="7"/>
        <v/>
      </c>
      <c r="AJ38" s="70" t="str">
        <f t="shared" si="8"/>
        <v/>
      </c>
      <c r="AK38" s="1"/>
      <c r="AL38" s="1"/>
      <c r="AM38" s="1"/>
      <c r="AN38" s="1"/>
    </row>
    <row r="39" spans="1:40" ht="20.100000000000001" customHeight="1" x14ac:dyDescent="0.3">
      <c r="A39" s="33">
        <v>32</v>
      </c>
      <c r="B39" s="34"/>
      <c r="C39" s="35"/>
      <c r="D39" s="36"/>
      <c r="E39" s="36"/>
      <c r="F39" s="36"/>
      <c r="G39" s="36"/>
      <c r="H39" s="36"/>
      <c r="I39" s="36"/>
      <c r="J39" s="36"/>
      <c r="K39" s="36"/>
      <c r="L39" s="91"/>
      <c r="M39" s="35"/>
      <c r="N39" s="36"/>
      <c r="O39" s="36"/>
      <c r="P39" s="36"/>
      <c r="Q39" s="91"/>
      <c r="R39" s="35"/>
      <c r="S39" s="36"/>
      <c r="T39" s="36"/>
      <c r="U39" s="36"/>
      <c r="V39" s="36"/>
      <c r="W39" s="36"/>
      <c r="X39" s="91"/>
      <c r="Y39" s="35"/>
      <c r="Z39" s="36"/>
      <c r="AA39" s="91"/>
      <c r="AB39" s="66">
        <f t="shared" si="0"/>
        <v>0</v>
      </c>
      <c r="AC39" s="66">
        <f t="shared" si="1"/>
        <v>0</v>
      </c>
      <c r="AD39" s="67">
        <f t="shared" si="2"/>
        <v>0</v>
      </c>
      <c r="AE39" s="66">
        <f t="shared" si="3"/>
        <v>0</v>
      </c>
      <c r="AF39" s="65" t="str">
        <f t="shared" si="4"/>
        <v/>
      </c>
      <c r="AG39" s="63" t="str">
        <f t="shared" si="5"/>
        <v/>
      </c>
      <c r="AH39" s="64" t="str">
        <f t="shared" si="6"/>
        <v/>
      </c>
      <c r="AI39" s="63" t="str">
        <f t="shared" si="7"/>
        <v/>
      </c>
      <c r="AJ39" s="70" t="str">
        <f t="shared" si="8"/>
        <v/>
      </c>
      <c r="AK39" s="1"/>
      <c r="AL39" s="1"/>
      <c r="AM39" s="1"/>
      <c r="AN39" s="1"/>
    </row>
    <row r="40" spans="1:40" ht="20.100000000000001" customHeight="1" x14ac:dyDescent="0.3">
      <c r="A40" s="27">
        <v>33</v>
      </c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92"/>
      <c r="M40" s="39"/>
      <c r="N40" s="40"/>
      <c r="O40" s="40"/>
      <c r="P40" s="40"/>
      <c r="Q40" s="92"/>
      <c r="R40" s="39"/>
      <c r="S40" s="40"/>
      <c r="T40" s="40"/>
      <c r="U40" s="40"/>
      <c r="V40" s="40"/>
      <c r="W40" s="40"/>
      <c r="X40" s="92"/>
      <c r="Y40" s="39"/>
      <c r="Z40" s="40"/>
      <c r="AA40" s="92"/>
      <c r="AB40" s="62">
        <f t="shared" si="0"/>
        <v>0</v>
      </c>
      <c r="AC40" s="62">
        <f t="shared" si="1"/>
        <v>0</v>
      </c>
      <c r="AD40" s="68">
        <f t="shared" si="2"/>
        <v>0</v>
      </c>
      <c r="AE40" s="62">
        <f t="shared" si="3"/>
        <v>0</v>
      </c>
      <c r="AF40" s="65" t="str">
        <f t="shared" si="4"/>
        <v/>
      </c>
      <c r="AG40" s="63" t="str">
        <f t="shared" si="5"/>
        <v/>
      </c>
      <c r="AH40" s="64" t="str">
        <f t="shared" si="6"/>
        <v/>
      </c>
      <c r="AI40" s="63" t="str">
        <f t="shared" si="7"/>
        <v/>
      </c>
      <c r="AJ40" s="70" t="str">
        <f t="shared" si="8"/>
        <v/>
      </c>
      <c r="AK40" s="1"/>
      <c r="AL40" s="1"/>
      <c r="AM40" s="1"/>
      <c r="AN40" s="1"/>
    </row>
    <row r="41" spans="1:40" ht="20.100000000000001" customHeight="1" x14ac:dyDescent="0.3">
      <c r="A41" s="33">
        <v>34</v>
      </c>
      <c r="B41" s="34"/>
      <c r="C41" s="35"/>
      <c r="D41" s="36"/>
      <c r="E41" s="36"/>
      <c r="F41" s="36"/>
      <c r="G41" s="36"/>
      <c r="H41" s="36"/>
      <c r="I41" s="36"/>
      <c r="J41" s="36"/>
      <c r="K41" s="36"/>
      <c r="L41" s="91"/>
      <c r="M41" s="35"/>
      <c r="N41" s="36"/>
      <c r="O41" s="36"/>
      <c r="P41" s="36"/>
      <c r="Q41" s="91"/>
      <c r="R41" s="35"/>
      <c r="S41" s="36"/>
      <c r="T41" s="36"/>
      <c r="U41" s="36"/>
      <c r="V41" s="36"/>
      <c r="W41" s="36"/>
      <c r="X41" s="91"/>
      <c r="Y41" s="35"/>
      <c r="Z41" s="36"/>
      <c r="AA41" s="91"/>
      <c r="AB41" s="66">
        <f t="shared" si="0"/>
        <v>0</v>
      </c>
      <c r="AC41" s="66">
        <f t="shared" si="1"/>
        <v>0</v>
      </c>
      <c r="AD41" s="67">
        <f t="shared" si="2"/>
        <v>0</v>
      </c>
      <c r="AE41" s="66">
        <f t="shared" si="3"/>
        <v>0</v>
      </c>
      <c r="AF41" s="65" t="str">
        <f t="shared" si="4"/>
        <v/>
      </c>
      <c r="AG41" s="63" t="str">
        <f t="shared" si="5"/>
        <v/>
      </c>
      <c r="AH41" s="64" t="str">
        <f t="shared" si="6"/>
        <v/>
      </c>
      <c r="AI41" s="63" t="str">
        <f t="shared" si="7"/>
        <v/>
      </c>
      <c r="AJ41" s="70" t="str">
        <f t="shared" si="8"/>
        <v/>
      </c>
      <c r="AK41" s="1"/>
      <c r="AL41" s="1"/>
      <c r="AM41" s="1"/>
      <c r="AN41" s="1"/>
    </row>
    <row r="42" spans="1:40" ht="20.100000000000001" customHeight="1" x14ac:dyDescent="0.3">
      <c r="A42" s="27">
        <v>35</v>
      </c>
      <c r="B42" s="38"/>
      <c r="C42" s="39"/>
      <c r="D42" s="40"/>
      <c r="E42" s="40"/>
      <c r="F42" s="40"/>
      <c r="G42" s="40"/>
      <c r="H42" s="40"/>
      <c r="I42" s="40"/>
      <c r="J42" s="40"/>
      <c r="K42" s="40"/>
      <c r="L42" s="92"/>
      <c r="M42" s="39"/>
      <c r="N42" s="40"/>
      <c r="O42" s="40"/>
      <c r="P42" s="40"/>
      <c r="Q42" s="92"/>
      <c r="R42" s="39"/>
      <c r="S42" s="40"/>
      <c r="T42" s="40"/>
      <c r="U42" s="40"/>
      <c r="V42" s="40"/>
      <c r="W42" s="40"/>
      <c r="X42" s="92"/>
      <c r="Y42" s="39"/>
      <c r="Z42" s="40"/>
      <c r="AA42" s="92"/>
      <c r="AB42" s="62">
        <f t="shared" si="0"/>
        <v>0</v>
      </c>
      <c r="AC42" s="62">
        <f t="shared" si="1"/>
        <v>0</v>
      </c>
      <c r="AD42" s="68">
        <f t="shared" si="2"/>
        <v>0</v>
      </c>
      <c r="AE42" s="62">
        <f t="shared" si="3"/>
        <v>0</v>
      </c>
      <c r="AF42" s="65" t="str">
        <f t="shared" si="4"/>
        <v/>
      </c>
      <c r="AG42" s="63" t="str">
        <f t="shared" si="5"/>
        <v/>
      </c>
      <c r="AH42" s="64" t="str">
        <f t="shared" si="6"/>
        <v/>
      </c>
      <c r="AI42" s="63" t="str">
        <f t="shared" si="7"/>
        <v/>
      </c>
      <c r="AJ42" s="70" t="str">
        <f t="shared" si="8"/>
        <v/>
      </c>
      <c r="AK42" s="1"/>
      <c r="AL42" s="1"/>
      <c r="AM42" s="1"/>
      <c r="AN42" s="1"/>
    </row>
    <row r="43" spans="1:40" ht="20.100000000000001" customHeight="1" x14ac:dyDescent="0.3">
      <c r="A43" s="33">
        <v>36</v>
      </c>
      <c r="B43" s="34"/>
      <c r="C43" s="35"/>
      <c r="D43" s="36"/>
      <c r="E43" s="36"/>
      <c r="F43" s="36"/>
      <c r="G43" s="36"/>
      <c r="H43" s="36"/>
      <c r="I43" s="36"/>
      <c r="J43" s="36"/>
      <c r="K43" s="36"/>
      <c r="L43" s="91"/>
      <c r="M43" s="35"/>
      <c r="N43" s="36"/>
      <c r="O43" s="36"/>
      <c r="P43" s="36"/>
      <c r="Q43" s="91"/>
      <c r="R43" s="35"/>
      <c r="S43" s="36"/>
      <c r="T43" s="36"/>
      <c r="U43" s="36"/>
      <c r="V43" s="36"/>
      <c r="W43" s="36"/>
      <c r="X43" s="91"/>
      <c r="Y43" s="35"/>
      <c r="Z43" s="36"/>
      <c r="AA43" s="91"/>
      <c r="AB43" s="66">
        <f t="shared" si="0"/>
        <v>0</v>
      </c>
      <c r="AC43" s="66">
        <f t="shared" si="1"/>
        <v>0</v>
      </c>
      <c r="AD43" s="67">
        <f t="shared" si="2"/>
        <v>0</v>
      </c>
      <c r="AE43" s="66">
        <f t="shared" si="3"/>
        <v>0</v>
      </c>
      <c r="AF43" s="65" t="str">
        <f t="shared" si="4"/>
        <v/>
      </c>
      <c r="AG43" s="63" t="str">
        <f t="shared" si="5"/>
        <v/>
      </c>
      <c r="AH43" s="64" t="str">
        <f t="shared" si="6"/>
        <v/>
      </c>
      <c r="AI43" s="63" t="str">
        <f t="shared" si="7"/>
        <v/>
      </c>
      <c r="AJ43" s="70" t="str">
        <f t="shared" si="8"/>
        <v/>
      </c>
      <c r="AK43" s="1"/>
      <c r="AL43" s="1"/>
      <c r="AM43" s="1"/>
      <c r="AN43" s="1"/>
    </row>
    <row r="44" spans="1:40" ht="20.100000000000001" customHeight="1" x14ac:dyDescent="0.3">
      <c r="A44" s="27">
        <v>37</v>
      </c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92"/>
      <c r="M44" s="39"/>
      <c r="N44" s="40"/>
      <c r="O44" s="40"/>
      <c r="P44" s="40"/>
      <c r="Q44" s="92"/>
      <c r="R44" s="39"/>
      <c r="S44" s="40"/>
      <c r="T44" s="40"/>
      <c r="U44" s="40"/>
      <c r="V44" s="40"/>
      <c r="W44" s="40"/>
      <c r="X44" s="92"/>
      <c r="Y44" s="39"/>
      <c r="Z44" s="40"/>
      <c r="AA44" s="92"/>
      <c r="AB44" s="62">
        <f t="shared" si="0"/>
        <v>0</v>
      </c>
      <c r="AC44" s="62">
        <f t="shared" si="1"/>
        <v>0</v>
      </c>
      <c r="AD44" s="68">
        <f t="shared" si="2"/>
        <v>0</v>
      </c>
      <c r="AE44" s="62">
        <f t="shared" si="3"/>
        <v>0</v>
      </c>
      <c r="AF44" s="65" t="str">
        <f t="shared" si="4"/>
        <v/>
      </c>
      <c r="AG44" s="63" t="str">
        <f t="shared" si="5"/>
        <v/>
      </c>
      <c r="AH44" s="64" t="str">
        <f t="shared" si="6"/>
        <v/>
      </c>
      <c r="AI44" s="63" t="str">
        <f t="shared" si="7"/>
        <v/>
      </c>
      <c r="AJ44" s="70" t="str">
        <f t="shared" si="8"/>
        <v/>
      </c>
      <c r="AK44" s="1"/>
      <c r="AL44" s="1"/>
      <c r="AM44" s="1"/>
      <c r="AN44" s="1"/>
    </row>
    <row r="45" spans="1:40" ht="20.100000000000001" customHeight="1" x14ac:dyDescent="0.3">
      <c r="A45" s="33">
        <v>38</v>
      </c>
      <c r="B45" s="34"/>
      <c r="C45" s="35"/>
      <c r="D45" s="36"/>
      <c r="E45" s="36"/>
      <c r="F45" s="36"/>
      <c r="G45" s="36"/>
      <c r="H45" s="36"/>
      <c r="I45" s="36"/>
      <c r="J45" s="36"/>
      <c r="K45" s="36"/>
      <c r="L45" s="91"/>
      <c r="M45" s="35"/>
      <c r="N45" s="36"/>
      <c r="O45" s="36"/>
      <c r="P45" s="36"/>
      <c r="Q45" s="91"/>
      <c r="R45" s="35"/>
      <c r="S45" s="36"/>
      <c r="T45" s="36"/>
      <c r="U45" s="36"/>
      <c r="V45" s="36"/>
      <c r="W45" s="36"/>
      <c r="X45" s="91"/>
      <c r="Y45" s="35"/>
      <c r="Z45" s="36"/>
      <c r="AA45" s="91"/>
      <c r="AB45" s="66">
        <f t="shared" si="0"/>
        <v>0</v>
      </c>
      <c r="AC45" s="66">
        <f t="shared" si="1"/>
        <v>0</v>
      </c>
      <c r="AD45" s="67">
        <f t="shared" si="2"/>
        <v>0</v>
      </c>
      <c r="AE45" s="66">
        <f t="shared" si="3"/>
        <v>0</v>
      </c>
      <c r="AF45" s="65" t="str">
        <f t="shared" si="4"/>
        <v/>
      </c>
      <c r="AG45" s="63" t="str">
        <f t="shared" si="5"/>
        <v/>
      </c>
      <c r="AH45" s="64" t="str">
        <f t="shared" si="6"/>
        <v/>
      </c>
      <c r="AI45" s="63" t="str">
        <f t="shared" si="7"/>
        <v/>
      </c>
      <c r="AJ45" s="70" t="str">
        <f t="shared" si="8"/>
        <v/>
      </c>
      <c r="AK45" s="1"/>
      <c r="AL45" s="1"/>
      <c r="AM45" s="1"/>
      <c r="AN45" s="1"/>
    </row>
    <row r="46" spans="1:40" ht="20.100000000000001" customHeight="1" x14ac:dyDescent="0.3">
      <c r="A46" s="27">
        <v>39</v>
      </c>
      <c r="B46" s="38"/>
      <c r="C46" s="39"/>
      <c r="D46" s="40"/>
      <c r="E46" s="40"/>
      <c r="F46" s="40"/>
      <c r="G46" s="40"/>
      <c r="H46" s="40"/>
      <c r="I46" s="40"/>
      <c r="J46" s="40"/>
      <c r="K46" s="40"/>
      <c r="L46" s="92"/>
      <c r="M46" s="39"/>
      <c r="N46" s="40"/>
      <c r="O46" s="40"/>
      <c r="P46" s="40"/>
      <c r="Q46" s="92"/>
      <c r="R46" s="39"/>
      <c r="S46" s="40"/>
      <c r="T46" s="40"/>
      <c r="U46" s="40"/>
      <c r="V46" s="40"/>
      <c r="W46" s="40"/>
      <c r="X46" s="92"/>
      <c r="Y46" s="39"/>
      <c r="Z46" s="40"/>
      <c r="AA46" s="92"/>
      <c r="AB46" s="62">
        <f t="shared" si="0"/>
        <v>0</v>
      </c>
      <c r="AC46" s="62">
        <f t="shared" si="1"/>
        <v>0</v>
      </c>
      <c r="AD46" s="68">
        <f t="shared" si="2"/>
        <v>0</v>
      </c>
      <c r="AE46" s="62">
        <f t="shared" si="3"/>
        <v>0</v>
      </c>
      <c r="AF46" s="65" t="str">
        <f t="shared" si="4"/>
        <v/>
      </c>
      <c r="AG46" s="63" t="str">
        <f t="shared" si="5"/>
        <v/>
      </c>
      <c r="AH46" s="64" t="str">
        <f t="shared" si="6"/>
        <v/>
      </c>
      <c r="AI46" s="63" t="str">
        <f t="shared" si="7"/>
        <v/>
      </c>
      <c r="AJ46" s="70" t="str">
        <f t="shared" si="8"/>
        <v/>
      </c>
      <c r="AK46" s="1"/>
      <c r="AL46" s="1"/>
      <c r="AM46" s="1"/>
      <c r="AN46" s="1"/>
    </row>
    <row r="47" spans="1:40" ht="20.100000000000001" customHeight="1" thickBot="1" x14ac:dyDescent="0.35">
      <c r="A47" s="42">
        <v>40</v>
      </c>
      <c r="B47" s="43"/>
      <c r="C47" s="47"/>
      <c r="D47" s="48"/>
      <c r="E47" s="48"/>
      <c r="F47" s="48"/>
      <c r="G47" s="48"/>
      <c r="H47" s="48"/>
      <c r="I47" s="48"/>
      <c r="J47" s="48"/>
      <c r="K47" s="48"/>
      <c r="L47" s="93"/>
      <c r="M47" s="47"/>
      <c r="N47" s="48"/>
      <c r="O47" s="48"/>
      <c r="P47" s="48"/>
      <c r="Q47" s="93"/>
      <c r="R47" s="47"/>
      <c r="S47" s="48"/>
      <c r="T47" s="48"/>
      <c r="U47" s="48"/>
      <c r="V47" s="48"/>
      <c r="W47" s="48"/>
      <c r="X47" s="93"/>
      <c r="Y47" s="47"/>
      <c r="Z47" s="48"/>
      <c r="AA47" s="93"/>
      <c r="AB47" s="71">
        <f t="shared" si="0"/>
        <v>0</v>
      </c>
      <c r="AC47" s="71">
        <f t="shared" si="1"/>
        <v>0</v>
      </c>
      <c r="AD47" s="72">
        <f t="shared" si="2"/>
        <v>0</v>
      </c>
      <c r="AE47" s="71">
        <f t="shared" si="3"/>
        <v>0</v>
      </c>
      <c r="AF47" s="65" t="str">
        <f t="shared" si="4"/>
        <v/>
      </c>
      <c r="AG47" s="63" t="str">
        <f t="shared" si="5"/>
        <v/>
      </c>
      <c r="AH47" s="64" t="str">
        <f t="shared" si="6"/>
        <v/>
      </c>
      <c r="AI47" s="63" t="str">
        <f t="shared" si="7"/>
        <v/>
      </c>
      <c r="AJ47" s="70" t="str">
        <f t="shared" si="8"/>
        <v/>
      </c>
      <c r="AK47" s="1"/>
      <c r="AL47" s="1"/>
      <c r="AM47" s="1"/>
      <c r="AN47" s="1"/>
    </row>
    <row r="48" spans="1:40" ht="27" customHeight="1" thickBot="1" x14ac:dyDescent="0.35">
      <c r="A48" s="191" t="s">
        <v>31</v>
      </c>
      <c r="B48" s="192"/>
      <c r="C48" s="49" t="s">
        <v>10</v>
      </c>
      <c r="D48" s="49" t="s">
        <v>11</v>
      </c>
      <c r="E48" s="49" t="s">
        <v>12</v>
      </c>
      <c r="F48" s="49" t="s">
        <v>13</v>
      </c>
      <c r="G48" s="49" t="s">
        <v>14</v>
      </c>
      <c r="H48" s="49" t="s">
        <v>15</v>
      </c>
      <c r="I48" s="49" t="s">
        <v>16</v>
      </c>
      <c r="J48" s="49" t="s">
        <v>17</v>
      </c>
      <c r="K48" s="49" t="s">
        <v>18</v>
      </c>
      <c r="L48" s="49" t="s">
        <v>19</v>
      </c>
      <c r="M48" s="49" t="s">
        <v>20</v>
      </c>
      <c r="N48" s="49" t="s">
        <v>21</v>
      </c>
      <c r="O48" s="49" t="s">
        <v>22</v>
      </c>
      <c r="P48" s="49" t="s">
        <v>23</v>
      </c>
      <c r="Q48" s="49" t="s">
        <v>24</v>
      </c>
      <c r="R48" s="49" t="s">
        <v>25</v>
      </c>
      <c r="S48" s="49" t="s">
        <v>26</v>
      </c>
      <c r="T48" s="49" t="s">
        <v>27</v>
      </c>
      <c r="U48" s="49" t="s">
        <v>28</v>
      </c>
      <c r="V48" s="49" t="s">
        <v>29</v>
      </c>
      <c r="W48" s="49" t="s">
        <v>53</v>
      </c>
      <c r="X48" s="49" t="s">
        <v>54</v>
      </c>
      <c r="Y48" s="49" t="s">
        <v>55</v>
      </c>
      <c r="Z48" s="49" t="s">
        <v>56</v>
      </c>
      <c r="AA48" s="49" t="s">
        <v>67</v>
      </c>
      <c r="AB48" s="15"/>
      <c r="AC48" s="15"/>
      <c r="AD48" s="193" t="s">
        <v>85</v>
      </c>
      <c r="AE48" s="194"/>
      <c r="AF48" s="194"/>
      <c r="AG48" s="194"/>
      <c r="AH48" s="194"/>
      <c r="AI48" s="194"/>
      <c r="AJ48" s="195"/>
      <c r="AK48" s="1"/>
      <c r="AL48" s="1"/>
      <c r="AM48" s="1"/>
      <c r="AN48" s="1"/>
    </row>
    <row r="49" spans="1:40" ht="27" customHeight="1" x14ac:dyDescent="0.3">
      <c r="A49" s="156" t="s">
        <v>6</v>
      </c>
      <c r="B49" s="157"/>
      <c r="C49" s="74">
        <f t="shared" ref="C49" si="9">COUNTIF(C8:C47,3)/COUNTA(C8:C47)*1</f>
        <v>0.75</v>
      </c>
      <c r="D49" s="74">
        <f t="shared" ref="D49:AA49" si="10">COUNTIF(D8:D47,3)/COUNTA(D8:D47)*1</f>
        <v>0.75</v>
      </c>
      <c r="E49" s="74">
        <f t="shared" si="10"/>
        <v>0.75</v>
      </c>
      <c r="F49" s="74">
        <f t="shared" si="10"/>
        <v>0.75</v>
      </c>
      <c r="G49" s="74">
        <f t="shared" si="10"/>
        <v>0.75</v>
      </c>
      <c r="H49" s="74">
        <f t="shared" si="10"/>
        <v>0.75</v>
      </c>
      <c r="I49" s="74">
        <f t="shared" si="10"/>
        <v>1</v>
      </c>
      <c r="J49" s="74">
        <f t="shared" si="10"/>
        <v>1</v>
      </c>
      <c r="K49" s="74">
        <f t="shared" si="10"/>
        <v>1</v>
      </c>
      <c r="L49" s="74">
        <f t="shared" si="10"/>
        <v>0.75</v>
      </c>
      <c r="M49" s="74">
        <f t="shared" si="10"/>
        <v>0.75</v>
      </c>
      <c r="N49" s="74">
        <f t="shared" si="10"/>
        <v>0.75</v>
      </c>
      <c r="O49" s="74">
        <f t="shared" si="10"/>
        <v>0.75</v>
      </c>
      <c r="P49" s="74">
        <f t="shared" si="10"/>
        <v>0.75</v>
      </c>
      <c r="Q49" s="74">
        <f t="shared" si="10"/>
        <v>0.66666666666666663</v>
      </c>
      <c r="R49" s="74">
        <f t="shared" si="10"/>
        <v>0.75</v>
      </c>
      <c r="S49" s="74">
        <f t="shared" si="10"/>
        <v>0.5</v>
      </c>
      <c r="T49" s="74">
        <f t="shared" si="10"/>
        <v>0.5</v>
      </c>
      <c r="U49" s="74">
        <f t="shared" si="10"/>
        <v>0.75</v>
      </c>
      <c r="V49" s="74">
        <f t="shared" si="10"/>
        <v>0.75</v>
      </c>
      <c r="W49" s="74">
        <f t="shared" si="10"/>
        <v>0.5</v>
      </c>
      <c r="X49" s="74">
        <f t="shared" si="10"/>
        <v>0.5</v>
      </c>
      <c r="Y49" s="74">
        <f t="shared" si="10"/>
        <v>0.5</v>
      </c>
      <c r="Z49" s="74">
        <f t="shared" si="10"/>
        <v>0.25</v>
      </c>
      <c r="AA49" s="74">
        <f t="shared" si="10"/>
        <v>0.5</v>
      </c>
      <c r="AB49" s="15"/>
      <c r="AC49" s="15"/>
      <c r="AD49" s="158" t="s">
        <v>2</v>
      </c>
      <c r="AE49" s="159"/>
      <c r="AF49" s="164" t="s">
        <v>50</v>
      </c>
      <c r="AG49" s="222" t="s">
        <v>58</v>
      </c>
      <c r="AH49" s="164" t="s">
        <v>64</v>
      </c>
      <c r="AI49" s="222" t="s">
        <v>66</v>
      </c>
      <c r="AJ49" s="167" t="s">
        <v>33</v>
      </c>
      <c r="AK49" s="147"/>
      <c r="AL49" s="3"/>
      <c r="AM49" s="1"/>
      <c r="AN49" s="1"/>
    </row>
    <row r="50" spans="1:40" ht="27" customHeight="1" x14ac:dyDescent="0.3">
      <c r="A50" s="148" t="s">
        <v>68</v>
      </c>
      <c r="B50" s="149"/>
      <c r="C50" s="75">
        <f>COUNTIF(C9:C48,2)/COUNTA(C9:C48)*1</f>
        <v>0</v>
      </c>
      <c r="D50" s="75">
        <f t="shared" ref="D50:AA50" si="11">COUNTIF(D9:D48,2)/COUNTA(D9:D48)*1</f>
        <v>0</v>
      </c>
      <c r="E50" s="75">
        <f t="shared" si="11"/>
        <v>0</v>
      </c>
      <c r="F50" s="75">
        <f t="shared" si="11"/>
        <v>0</v>
      </c>
      <c r="G50" s="75">
        <f t="shared" si="11"/>
        <v>0</v>
      </c>
      <c r="H50" s="75">
        <f t="shared" si="11"/>
        <v>0</v>
      </c>
      <c r="I50" s="75">
        <f t="shared" si="11"/>
        <v>0</v>
      </c>
      <c r="J50" s="75">
        <f t="shared" si="11"/>
        <v>0</v>
      </c>
      <c r="K50" s="75">
        <f t="shared" si="11"/>
        <v>0</v>
      </c>
      <c r="L50" s="75">
        <f t="shared" si="11"/>
        <v>0</v>
      </c>
      <c r="M50" s="75">
        <f t="shared" si="11"/>
        <v>0</v>
      </c>
      <c r="N50" s="75">
        <f t="shared" si="11"/>
        <v>0</v>
      </c>
      <c r="O50" s="75">
        <f t="shared" si="11"/>
        <v>0</v>
      </c>
      <c r="P50" s="75">
        <f t="shared" si="11"/>
        <v>0</v>
      </c>
      <c r="Q50" s="75">
        <f t="shared" si="11"/>
        <v>0</v>
      </c>
      <c r="R50" s="75">
        <f t="shared" si="11"/>
        <v>0</v>
      </c>
      <c r="S50" s="75">
        <f t="shared" si="11"/>
        <v>0.25</v>
      </c>
      <c r="T50" s="75">
        <f t="shared" si="11"/>
        <v>0</v>
      </c>
      <c r="U50" s="75">
        <f t="shared" si="11"/>
        <v>0</v>
      </c>
      <c r="V50" s="75">
        <f t="shared" si="11"/>
        <v>0</v>
      </c>
      <c r="W50" s="75">
        <f t="shared" si="11"/>
        <v>0</v>
      </c>
      <c r="X50" s="75">
        <f t="shared" si="11"/>
        <v>0</v>
      </c>
      <c r="Y50" s="75">
        <f t="shared" si="11"/>
        <v>0</v>
      </c>
      <c r="Z50" s="75">
        <f t="shared" si="11"/>
        <v>0</v>
      </c>
      <c r="AA50" s="75">
        <f t="shared" si="11"/>
        <v>0</v>
      </c>
      <c r="AB50" s="15"/>
      <c r="AC50" s="15"/>
      <c r="AD50" s="160"/>
      <c r="AE50" s="161"/>
      <c r="AF50" s="165"/>
      <c r="AG50" s="223"/>
      <c r="AH50" s="165"/>
      <c r="AI50" s="223"/>
      <c r="AJ50" s="168"/>
      <c r="AK50" s="147"/>
      <c r="AL50" s="3"/>
      <c r="AM50" s="1"/>
      <c r="AN50" s="1"/>
    </row>
    <row r="51" spans="1:40" ht="26.25" customHeight="1" thickBot="1" x14ac:dyDescent="0.35">
      <c r="A51" s="150" t="s">
        <v>7</v>
      </c>
      <c r="B51" s="151"/>
      <c r="C51" s="76">
        <f>COUNTIF(C8:C47,1)/COUNTA(C8:C47)*1</f>
        <v>0.25</v>
      </c>
      <c r="D51" s="76">
        <f t="shared" ref="D51:AA51" si="12">COUNTIF(D8:D47,1)/COUNTA(D8:D47)*1</f>
        <v>0.25</v>
      </c>
      <c r="E51" s="76">
        <f t="shared" si="12"/>
        <v>0.25</v>
      </c>
      <c r="F51" s="76">
        <f t="shared" si="12"/>
        <v>0.25</v>
      </c>
      <c r="G51" s="76">
        <f t="shared" si="12"/>
        <v>0.25</v>
      </c>
      <c r="H51" s="76">
        <f t="shared" si="12"/>
        <v>0.25</v>
      </c>
      <c r="I51" s="76">
        <f t="shared" si="12"/>
        <v>0</v>
      </c>
      <c r="J51" s="76">
        <f t="shared" si="12"/>
        <v>0</v>
      </c>
      <c r="K51" s="76">
        <f t="shared" si="12"/>
        <v>0</v>
      </c>
      <c r="L51" s="76">
        <f t="shared" si="12"/>
        <v>0.25</v>
      </c>
      <c r="M51" s="76">
        <f t="shared" si="12"/>
        <v>0.25</v>
      </c>
      <c r="N51" s="76">
        <f t="shared" si="12"/>
        <v>0.25</v>
      </c>
      <c r="O51" s="76">
        <f t="shared" si="12"/>
        <v>0.25</v>
      </c>
      <c r="P51" s="76">
        <f t="shared" si="12"/>
        <v>0.25</v>
      </c>
      <c r="Q51" s="76">
        <f t="shared" si="12"/>
        <v>0.33333333333333331</v>
      </c>
      <c r="R51" s="76">
        <f t="shared" si="12"/>
        <v>0.25</v>
      </c>
      <c r="S51" s="76">
        <f t="shared" si="12"/>
        <v>0.25</v>
      </c>
      <c r="T51" s="76">
        <f t="shared" si="12"/>
        <v>0.5</v>
      </c>
      <c r="U51" s="76">
        <f t="shared" si="12"/>
        <v>0.25</v>
      </c>
      <c r="V51" s="76">
        <f t="shared" si="12"/>
        <v>0.25</v>
      </c>
      <c r="W51" s="76">
        <f t="shared" si="12"/>
        <v>0.5</v>
      </c>
      <c r="X51" s="76">
        <f t="shared" si="12"/>
        <v>0.5</v>
      </c>
      <c r="Y51" s="76">
        <f t="shared" si="12"/>
        <v>0.5</v>
      </c>
      <c r="Z51" s="76">
        <f t="shared" si="12"/>
        <v>0.75</v>
      </c>
      <c r="AA51" s="76">
        <f t="shared" si="12"/>
        <v>0.5</v>
      </c>
      <c r="AB51" s="15"/>
      <c r="AC51" s="15"/>
      <c r="AD51" s="162"/>
      <c r="AE51" s="163"/>
      <c r="AF51" s="166"/>
      <c r="AG51" s="224"/>
      <c r="AH51" s="166"/>
      <c r="AI51" s="224"/>
      <c r="AJ51" s="169"/>
      <c r="AK51" s="147"/>
      <c r="AL51" s="3"/>
      <c r="AM51" s="1"/>
      <c r="AN51" s="1"/>
    </row>
    <row r="52" spans="1:40" ht="20.100000000000001" customHeight="1" thickBot="1" x14ac:dyDescent="0.35">
      <c r="A52" s="152" t="s">
        <v>8</v>
      </c>
      <c r="B52" s="153"/>
      <c r="C52" s="77">
        <f>COUNTIF(C8:C47,0)/COUNTA(C8:C47)*1</f>
        <v>0</v>
      </c>
      <c r="D52" s="77">
        <f t="shared" ref="D52:AA52" si="13">COUNTIF(D8:D47,0)/COUNTA(D8:D47)*1</f>
        <v>0</v>
      </c>
      <c r="E52" s="77">
        <f t="shared" si="13"/>
        <v>0</v>
      </c>
      <c r="F52" s="77">
        <f t="shared" si="13"/>
        <v>0</v>
      </c>
      <c r="G52" s="77">
        <f t="shared" si="13"/>
        <v>0</v>
      </c>
      <c r="H52" s="77">
        <f t="shared" si="13"/>
        <v>0</v>
      </c>
      <c r="I52" s="77">
        <f t="shared" si="13"/>
        <v>0</v>
      </c>
      <c r="J52" s="77">
        <f t="shared" si="13"/>
        <v>0</v>
      </c>
      <c r="K52" s="77">
        <f t="shared" si="13"/>
        <v>0</v>
      </c>
      <c r="L52" s="77">
        <f t="shared" si="13"/>
        <v>0</v>
      </c>
      <c r="M52" s="77">
        <f t="shared" si="13"/>
        <v>0</v>
      </c>
      <c r="N52" s="77">
        <f t="shared" si="13"/>
        <v>0</v>
      </c>
      <c r="O52" s="77">
        <f t="shared" si="13"/>
        <v>0</v>
      </c>
      <c r="P52" s="77">
        <f t="shared" si="13"/>
        <v>0</v>
      </c>
      <c r="Q52" s="77">
        <f t="shared" si="13"/>
        <v>0</v>
      </c>
      <c r="R52" s="77">
        <f t="shared" si="13"/>
        <v>0</v>
      </c>
      <c r="S52" s="77">
        <f t="shared" si="13"/>
        <v>0</v>
      </c>
      <c r="T52" s="77">
        <f t="shared" si="13"/>
        <v>0</v>
      </c>
      <c r="U52" s="77">
        <f t="shared" si="13"/>
        <v>0</v>
      </c>
      <c r="V52" s="77">
        <f t="shared" si="13"/>
        <v>0</v>
      </c>
      <c r="W52" s="77">
        <f t="shared" si="13"/>
        <v>0</v>
      </c>
      <c r="X52" s="77">
        <f t="shared" si="13"/>
        <v>0</v>
      </c>
      <c r="Y52" s="77">
        <f t="shared" si="13"/>
        <v>0</v>
      </c>
      <c r="Z52" s="77">
        <f t="shared" si="13"/>
        <v>0</v>
      </c>
      <c r="AA52" s="77">
        <f t="shared" si="13"/>
        <v>0</v>
      </c>
      <c r="AB52" s="15"/>
      <c r="AC52" s="15"/>
      <c r="AD52" s="154" t="s">
        <v>34</v>
      </c>
      <c r="AE52" s="155"/>
      <c r="AF52" s="79">
        <f>COUNTIFS(AF8:AF47,"Logrado")</f>
        <v>3</v>
      </c>
      <c r="AG52" s="79">
        <f t="shared" ref="AG52:AJ52" si="14">COUNTIFS(AG8:AG47,"Logrado")</f>
        <v>2</v>
      </c>
      <c r="AH52" s="79">
        <f t="shared" si="14"/>
        <v>1</v>
      </c>
      <c r="AI52" s="79">
        <f t="shared" si="14"/>
        <v>1</v>
      </c>
      <c r="AJ52" s="79">
        <f t="shared" si="14"/>
        <v>2</v>
      </c>
      <c r="AK52" s="1"/>
      <c r="AL52" s="1"/>
      <c r="AM52" s="1"/>
      <c r="AN52" s="1"/>
    </row>
    <row r="53" spans="1:40" ht="20.100000000000001" customHeight="1" thickBot="1" x14ac:dyDescent="0.35">
      <c r="A53" s="187" t="s">
        <v>35</v>
      </c>
      <c r="B53" s="188"/>
      <c r="C53" s="78">
        <f>SUM(C49:C52)</f>
        <v>1</v>
      </c>
      <c r="D53" s="78">
        <f t="shared" ref="D53:AA53" si="15">SUM(D49:D52)</f>
        <v>1</v>
      </c>
      <c r="E53" s="78">
        <f t="shared" si="15"/>
        <v>1</v>
      </c>
      <c r="F53" s="78">
        <f t="shared" si="15"/>
        <v>1</v>
      </c>
      <c r="G53" s="78">
        <f t="shared" si="15"/>
        <v>1</v>
      </c>
      <c r="H53" s="78">
        <f t="shared" si="15"/>
        <v>1</v>
      </c>
      <c r="I53" s="78">
        <f t="shared" si="15"/>
        <v>1</v>
      </c>
      <c r="J53" s="78">
        <f t="shared" si="15"/>
        <v>1</v>
      </c>
      <c r="K53" s="78">
        <f t="shared" si="15"/>
        <v>1</v>
      </c>
      <c r="L53" s="78">
        <f t="shared" si="15"/>
        <v>1</v>
      </c>
      <c r="M53" s="78">
        <f t="shared" si="15"/>
        <v>1</v>
      </c>
      <c r="N53" s="78">
        <f t="shared" si="15"/>
        <v>1</v>
      </c>
      <c r="O53" s="78">
        <f t="shared" si="15"/>
        <v>1</v>
      </c>
      <c r="P53" s="78">
        <f t="shared" si="15"/>
        <v>1</v>
      </c>
      <c r="Q53" s="78">
        <f t="shared" si="15"/>
        <v>1</v>
      </c>
      <c r="R53" s="78">
        <f t="shared" si="15"/>
        <v>1</v>
      </c>
      <c r="S53" s="78">
        <f t="shared" si="15"/>
        <v>1</v>
      </c>
      <c r="T53" s="78">
        <f t="shared" si="15"/>
        <v>1</v>
      </c>
      <c r="U53" s="78">
        <f t="shared" si="15"/>
        <v>1</v>
      </c>
      <c r="V53" s="78">
        <f t="shared" si="15"/>
        <v>1</v>
      </c>
      <c r="W53" s="78">
        <f t="shared" si="15"/>
        <v>1</v>
      </c>
      <c r="X53" s="78">
        <f t="shared" si="15"/>
        <v>1</v>
      </c>
      <c r="Y53" s="78">
        <f t="shared" si="15"/>
        <v>1</v>
      </c>
      <c r="Z53" s="78">
        <f t="shared" si="15"/>
        <v>1</v>
      </c>
      <c r="AA53" s="78">
        <f t="shared" si="15"/>
        <v>1</v>
      </c>
      <c r="AB53" s="15"/>
      <c r="AC53" s="15"/>
      <c r="AD53" s="189" t="s">
        <v>36</v>
      </c>
      <c r="AE53" s="190"/>
      <c r="AF53" s="80">
        <f>COUNTIFS(AF8:AF47,"Proceso")</f>
        <v>0</v>
      </c>
      <c r="AG53" s="80">
        <f t="shared" ref="AG53:AJ53" si="16">COUNTIFS(AG8:AG47,"Proceso")</f>
        <v>1</v>
      </c>
      <c r="AH53" s="80">
        <f t="shared" si="16"/>
        <v>2</v>
      </c>
      <c r="AI53" s="80">
        <f t="shared" si="16"/>
        <v>1</v>
      </c>
      <c r="AJ53" s="80">
        <f t="shared" si="16"/>
        <v>1</v>
      </c>
      <c r="AK53" s="1"/>
      <c r="AL53" s="1"/>
      <c r="AM53" s="1"/>
      <c r="AN53" s="1"/>
    </row>
    <row r="54" spans="1:40" ht="20.100000000000001" customHeight="1" x14ac:dyDescent="0.3">
      <c r="A54" s="50"/>
      <c r="B54" s="50"/>
      <c r="C54" s="51"/>
      <c r="D54" s="51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9" t="s">
        <v>37</v>
      </c>
      <c r="AE54" s="180"/>
      <c r="AF54" s="80">
        <f>COUNTIFS(AF8:AF47,"Inicio")</f>
        <v>1</v>
      </c>
      <c r="AG54" s="80">
        <f t="shared" ref="AG54:AJ54" si="17">COUNTIFS(AG8:AG47,"Inicio")</f>
        <v>0</v>
      </c>
      <c r="AH54" s="80">
        <f t="shared" si="17"/>
        <v>0</v>
      </c>
      <c r="AI54" s="80">
        <f t="shared" si="17"/>
        <v>0</v>
      </c>
      <c r="AJ54" s="80">
        <f t="shared" si="17"/>
        <v>1</v>
      </c>
      <c r="AK54" s="1"/>
      <c r="AL54" s="1"/>
      <c r="AM54" s="1"/>
      <c r="AN54" s="1"/>
    </row>
    <row r="55" spans="1:40" ht="20.100000000000001" customHeight="1" thickBot="1" x14ac:dyDescent="0.35">
      <c r="A55" s="50"/>
      <c r="B55" s="50"/>
      <c r="C55" s="94"/>
      <c r="D55" s="9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228" t="s">
        <v>38</v>
      </c>
      <c r="AE55" s="229"/>
      <c r="AF55" s="95">
        <f>COUNTIFS(AF8:AF47,"Previo al inicio")</f>
        <v>0</v>
      </c>
      <c r="AG55" s="95">
        <f t="shared" ref="AG55:AJ55" si="18">COUNTIFS(AG8:AG47,"Previo al inicio")</f>
        <v>1</v>
      </c>
      <c r="AH55" s="95">
        <f t="shared" si="18"/>
        <v>1</v>
      </c>
      <c r="AI55" s="95">
        <f t="shared" si="18"/>
        <v>2</v>
      </c>
      <c r="AJ55" s="95">
        <f t="shared" si="18"/>
        <v>0</v>
      </c>
      <c r="AK55" s="1"/>
      <c r="AL55" s="1"/>
      <c r="AM55" s="1"/>
      <c r="AN55" s="1"/>
    </row>
    <row r="56" spans="1:40" ht="34.5" customHeight="1" thickBot="1" x14ac:dyDescent="0.35">
      <c r="A56" s="181" t="s">
        <v>39</v>
      </c>
      <c r="B56" s="182"/>
      <c r="C56" s="82" t="str">
        <f t="shared" ref="C56:AA56" si="19">IF(COUNTIF(C8:C47,3)/COUNTA(C8:C47)&lt;=0.25,"Previo al inicio",
   IF(COUNTIF(C8:C47,3)/COUNTA(C8:C47)&lt;=0.5,"Inicio",
   IF(COUNTIF(C8:C47,3)/COUNTA(C8:C47)&lt;=0.75,"Proceso",
   "Logrado")))</f>
        <v>Proceso</v>
      </c>
      <c r="D56" s="83" t="str">
        <f t="shared" si="19"/>
        <v>Proceso</v>
      </c>
      <c r="E56" s="83" t="str">
        <f t="shared" si="19"/>
        <v>Proceso</v>
      </c>
      <c r="F56" s="83" t="str">
        <f t="shared" si="19"/>
        <v>Proceso</v>
      </c>
      <c r="G56" s="83" t="str">
        <f t="shared" si="19"/>
        <v>Proceso</v>
      </c>
      <c r="H56" s="83" t="str">
        <f t="shared" si="19"/>
        <v>Proceso</v>
      </c>
      <c r="I56" s="83" t="str">
        <f t="shared" si="19"/>
        <v>Logrado</v>
      </c>
      <c r="J56" s="83" t="str">
        <f t="shared" si="19"/>
        <v>Logrado</v>
      </c>
      <c r="K56" s="83" t="str">
        <f t="shared" si="19"/>
        <v>Logrado</v>
      </c>
      <c r="L56" s="84" t="str">
        <f t="shared" si="19"/>
        <v>Proceso</v>
      </c>
      <c r="M56" s="85" t="str">
        <f t="shared" si="19"/>
        <v>Proceso</v>
      </c>
      <c r="N56" s="83" t="str">
        <f t="shared" si="19"/>
        <v>Proceso</v>
      </c>
      <c r="O56" s="83" t="str">
        <f t="shared" si="19"/>
        <v>Proceso</v>
      </c>
      <c r="P56" s="83" t="str">
        <f t="shared" si="19"/>
        <v>Proceso</v>
      </c>
      <c r="Q56" s="97" t="str">
        <f t="shared" si="19"/>
        <v>Proceso</v>
      </c>
      <c r="R56" s="82" t="str">
        <f t="shared" si="19"/>
        <v>Proceso</v>
      </c>
      <c r="S56" s="83" t="str">
        <f t="shared" si="19"/>
        <v>Inicio</v>
      </c>
      <c r="T56" s="83" t="str">
        <f t="shared" si="19"/>
        <v>Inicio</v>
      </c>
      <c r="U56" s="83" t="str">
        <f t="shared" si="19"/>
        <v>Proceso</v>
      </c>
      <c r="V56" s="83" t="str">
        <f t="shared" si="19"/>
        <v>Proceso</v>
      </c>
      <c r="W56" s="83" t="str">
        <f t="shared" si="19"/>
        <v>Inicio</v>
      </c>
      <c r="X56" s="84" t="str">
        <f t="shared" si="19"/>
        <v>Inicio</v>
      </c>
      <c r="Y56" s="85" t="str">
        <f t="shared" si="19"/>
        <v>Inicio</v>
      </c>
      <c r="Z56" s="83" t="str">
        <f t="shared" si="19"/>
        <v>Previo al inicio</v>
      </c>
      <c r="AA56" s="84" t="str">
        <f t="shared" si="19"/>
        <v>Inicio</v>
      </c>
      <c r="AB56" s="15"/>
      <c r="AC56" s="15"/>
      <c r="AD56" s="183" t="s">
        <v>40</v>
      </c>
      <c r="AE56" s="184"/>
      <c r="AF56" s="96">
        <f>SUM(AF52:AF55)</f>
        <v>4</v>
      </c>
      <c r="AG56" s="96">
        <f t="shared" ref="AG56:AJ56" si="20">SUM(AG52:AG55)</f>
        <v>4</v>
      </c>
      <c r="AH56" s="96">
        <f t="shared" si="20"/>
        <v>4</v>
      </c>
      <c r="AI56" s="96">
        <f t="shared" si="20"/>
        <v>4</v>
      </c>
      <c r="AJ56" s="96">
        <f t="shared" si="20"/>
        <v>4</v>
      </c>
      <c r="AK56" s="1"/>
      <c r="AL56" s="1"/>
      <c r="AM56" s="1"/>
      <c r="AN56" s="1"/>
    </row>
    <row r="57" spans="1:40" ht="25.5" customHeight="1" thickBot="1" x14ac:dyDescent="0.35">
      <c r="A57" s="185" t="s">
        <v>41</v>
      </c>
      <c r="B57" s="230"/>
      <c r="C57" s="231" t="str">
        <f>IF(SUM(C49:L49)&lt;=250%,"Previo al inicio",
   IF(SUM(C49:L49)&lt;=500%,"Inicio",
   IF(SUM(C49:L49)&lt;=750%,"Proceso",
   "Logrado")))</f>
        <v>Logrado</v>
      </c>
      <c r="D57" s="232"/>
      <c r="E57" s="232"/>
      <c r="F57" s="232"/>
      <c r="G57" s="232"/>
      <c r="H57" s="232"/>
      <c r="I57" s="232"/>
      <c r="J57" s="232"/>
      <c r="K57" s="232"/>
      <c r="L57" s="233"/>
      <c r="M57" s="231" t="str">
        <f>IF(SUM(M49:Q49)&lt;=125%,"Previo al inicio",
   IF(SUM(M49:Q49)&lt;=250%,"Inicio",
   IF(SUM(M49:Q49)&lt;=375%,"Proceso",
   "Logrado")))</f>
        <v>Proceso</v>
      </c>
      <c r="N57" s="232"/>
      <c r="O57" s="232"/>
      <c r="P57" s="232"/>
      <c r="Q57" s="232"/>
      <c r="R57" s="231" t="str">
        <f>IF(SUM(R49:X49)&lt;=175%,"Previo al inicio",
   IF(SUM(R49:X49)&lt;=350%,"Inicio",
   IF(SUM(R49:X49)&lt;=525%,"Proceso",
   "Logrado")))</f>
        <v>Proceso</v>
      </c>
      <c r="S57" s="232"/>
      <c r="T57" s="232"/>
      <c r="U57" s="232"/>
      <c r="V57" s="232"/>
      <c r="W57" s="232"/>
      <c r="X57" s="232"/>
      <c r="Y57" s="231" t="str">
        <f>IF(SUM(Y49:AA49)&lt;=75%,"Previo al inicio",
   IF(SUM(Y49:AA49)&lt;=150%,"Inicio",
   IF(SUM(Y49:AA49)&lt;=225%,"Proceso",
   "Logrado")))</f>
        <v>Inicio</v>
      </c>
      <c r="Z57" s="232"/>
      <c r="AA57" s="233"/>
      <c r="AB57" s="52"/>
      <c r="AC57" s="52"/>
      <c r="AD57" s="52"/>
      <c r="AE57" s="15"/>
      <c r="AF57" s="15"/>
      <c r="AG57" s="15"/>
      <c r="AH57" s="15"/>
      <c r="AI57" s="15"/>
      <c r="AJ57" s="15"/>
      <c r="AK57" s="1"/>
      <c r="AL57" s="1"/>
      <c r="AM57" s="1"/>
      <c r="AN57" s="1"/>
    </row>
    <row r="58" spans="1:40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6.2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6.2" thickBot="1" x14ac:dyDescent="0.35">
      <c r="A60" s="1"/>
      <c r="B60" s="225" t="s">
        <v>42</v>
      </c>
      <c r="C60" s="226"/>
      <c r="D60" s="227"/>
      <c r="E60" s="4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.6" x14ac:dyDescent="0.3">
      <c r="A61" s="1"/>
      <c r="B61" s="13" t="s">
        <v>6</v>
      </c>
      <c r="C61" s="14" t="s">
        <v>43</v>
      </c>
      <c r="D61" s="7">
        <v>3</v>
      </c>
      <c r="E61" s="6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.6" x14ac:dyDescent="0.3">
      <c r="A62" s="1"/>
      <c r="B62" s="13" t="s">
        <v>68</v>
      </c>
      <c r="C62" s="14" t="s">
        <v>69</v>
      </c>
      <c r="D62" s="8">
        <v>2</v>
      </c>
      <c r="E62" s="6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.6" x14ac:dyDescent="0.3">
      <c r="A63" s="1"/>
      <c r="B63" s="9" t="s">
        <v>7</v>
      </c>
      <c r="C63" s="11" t="s">
        <v>44</v>
      </c>
      <c r="D63" s="7">
        <v>1</v>
      </c>
      <c r="E63" s="6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6.2" thickBot="1" x14ac:dyDescent="0.35">
      <c r="A64" s="1"/>
      <c r="B64" s="10" t="s">
        <v>8</v>
      </c>
      <c r="C64" s="12" t="s">
        <v>45</v>
      </c>
      <c r="D64" s="8">
        <v>0</v>
      </c>
      <c r="E64" s="6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</sheetData>
  <sheetProtection algorithmName="SHA-512" hashValue="HLCPcf/2Idj1o7YNuN7wrp7pYTD1y6ydvskeEFKirjNTdqeULrmFndxtig9expU/z5L9zdjfB3BXEKz72/P6ww==" saltValue="sjVo7qiE9u58j+8KUZ5CkQ==" spinCount="100000" sheet="1" objects="1" scenarios="1"/>
  <mergeCells count="45">
    <mergeCell ref="B60:D60"/>
    <mergeCell ref="AD54:AE54"/>
    <mergeCell ref="AD55:AE55"/>
    <mergeCell ref="A56:B56"/>
    <mergeCell ref="AD56:AE56"/>
    <mergeCell ref="A57:B57"/>
    <mergeCell ref="C57:L57"/>
    <mergeCell ref="M57:Q57"/>
    <mergeCell ref="R57:X57"/>
    <mergeCell ref="Y57:AA57"/>
    <mergeCell ref="AK49:AK51"/>
    <mergeCell ref="A50:B50"/>
    <mergeCell ref="A51:B51"/>
    <mergeCell ref="A52:B52"/>
    <mergeCell ref="AD52:AE52"/>
    <mergeCell ref="AG6:AG7"/>
    <mergeCell ref="AH6:AH7"/>
    <mergeCell ref="AI6:AI7"/>
    <mergeCell ref="A53:B53"/>
    <mergeCell ref="AD53:AE53"/>
    <mergeCell ref="A48:B48"/>
    <mergeCell ref="AD48:AJ48"/>
    <mergeCell ref="A49:B49"/>
    <mergeCell ref="AD49:AE51"/>
    <mergeCell ref="AF49:AF51"/>
    <mergeCell ref="AG49:AG51"/>
    <mergeCell ref="AH49:AH51"/>
    <mergeCell ref="AI49:AI51"/>
    <mergeCell ref="AJ49:AJ51"/>
    <mergeCell ref="A1:AJ1"/>
    <mergeCell ref="A3:B3"/>
    <mergeCell ref="C3:AJ3"/>
    <mergeCell ref="A5:A7"/>
    <mergeCell ref="C5:L5"/>
    <mergeCell ref="M5:Q5"/>
    <mergeCell ref="R5:X5"/>
    <mergeCell ref="Y5:AA5"/>
    <mergeCell ref="AB5:AE5"/>
    <mergeCell ref="AF5:AI5"/>
    <mergeCell ref="AJ5:AJ7"/>
    <mergeCell ref="AB6:AB7"/>
    <mergeCell ref="AC6:AC7"/>
    <mergeCell ref="AD6:AD7"/>
    <mergeCell ref="AE6:AE7"/>
    <mergeCell ref="AF6:AF7"/>
  </mergeCells>
  <conditionalFormatting sqref="AJ8:AJ47 C56:AA56">
    <cfRule type="expression" dxfId="59" priority="19">
      <formula>C8="Logrado"</formula>
    </cfRule>
    <cfRule type="expression" dxfId="58" priority="20">
      <formula>C8="Proceso"</formula>
    </cfRule>
    <cfRule type="expression" dxfId="57" priority="21">
      <formula>C8="Inicio"</formula>
    </cfRule>
    <cfRule type="expression" dxfId="56" priority="22">
      <formula>C8="Previo al Inicio"</formula>
    </cfRule>
  </conditionalFormatting>
  <conditionalFormatting sqref="AF8:AI47">
    <cfRule type="expression" dxfId="55" priority="15">
      <formula>AF8="Previo al inicio"</formula>
    </cfRule>
    <cfRule type="expression" dxfId="54" priority="16">
      <formula>AF8="Inicio"</formula>
    </cfRule>
    <cfRule type="expression" dxfId="53" priority="17">
      <formula>AF8="Proceso"</formula>
    </cfRule>
    <cfRule type="expression" dxfId="52" priority="18">
      <formula>AF8="Logrado"</formula>
    </cfRule>
  </conditionalFormatting>
  <conditionalFormatting sqref="C57 M57 R57 Y57">
    <cfRule type="expression" dxfId="51" priority="11">
      <formula>C57="Previo al inicio"</formula>
    </cfRule>
    <cfRule type="expression" dxfId="50" priority="12">
      <formula>C57="Inicio"</formula>
    </cfRule>
    <cfRule type="expression" dxfId="49" priority="13">
      <formula>C57="Proceso"</formula>
    </cfRule>
    <cfRule type="expression" dxfId="48" priority="14">
      <formula>C57="Logrado"</formula>
    </cfRule>
  </conditionalFormatting>
  <dataValidations count="1">
    <dataValidation type="list" showInputMessage="1" showErrorMessage="1" sqref="D61:D64 C8:AA47" xr:uid="{00000000-0002-0000-0100-000000000000}">
      <formula1>"0,1,2,3"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E0EE2953-C119-4E5A-93A9-E94A2619D50A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E61:F62</xm:sqref>
        </x14:conditionalFormatting>
        <x14:conditionalFormatting xmlns:xm="http://schemas.microsoft.com/office/excel/2006/main">
          <x14:cfRule type="iconSet" priority="9" id="{471F699E-F3EE-4D4B-B33F-99728FADBA2A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E63:F63</xm:sqref>
        </x14:conditionalFormatting>
        <x14:conditionalFormatting xmlns:xm="http://schemas.microsoft.com/office/excel/2006/main">
          <x14:cfRule type="iconSet" priority="8" id="{B908EFC1-2DFC-463B-A7F4-FB3EA55BB310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E64:F64</xm:sqref>
        </x14:conditionalFormatting>
        <x14:conditionalFormatting xmlns:xm="http://schemas.microsoft.com/office/excel/2006/main">
          <x14:cfRule type="iconSet" priority="1" id="{FCA78AA4-5703-491D-8C93-74D551D55A94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D61:D64</xm:sqref>
        </x14:conditionalFormatting>
        <x14:conditionalFormatting xmlns:xm="http://schemas.microsoft.com/office/excel/2006/main">
          <x14:cfRule type="iconSet" priority="129" id="{3C0119D8-D0EC-4C40-9B66-5D61C38208AC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C20:AA20 C26:AA26 C32:AA32 C38:AA38 C44:AA44 C8:AA14</xm:sqref>
        </x14:conditionalFormatting>
        <x14:conditionalFormatting xmlns:xm="http://schemas.microsoft.com/office/excel/2006/main">
          <x14:cfRule type="iconSet" priority="141" id="{F0493C4B-4AEA-4FD4-A7AF-6ED7F640DA40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C15:AA19</xm:sqref>
        </x14:conditionalFormatting>
        <x14:conditionalFormatting xmlns:xm="http://schemas.microsoft.com/office/excel/2006/main">
          <x14:cfRule type="iconSet" priority="143" id="{56F0ECEA-C8D0-4E02-B797-8EE76AC2F729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C21:AA25</xm:sqref>
        </x14:conditionalFormatting>
        <x14:conditionalFormatting xmlns:xm="http://schemas.microsoft.com/office/excel/2006/main">
          <x14:cfRule type="iconSet" priority="145" id="{9E77446C-F89F-4020-8E0A-E3AF0FA1B86A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C27:AA31</xm:sqref>
        </x14:conditionalFormatting>
        <x14:conditionalFormatting xmlns:xm="http://schemas.microsoft.com/office/excel/2006/main">
          <x14:cfRule type="iconSet" priority="147" id="{82155AB9-BC5A-40CF-A9CC-5742F60B38EF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C33:AA37</xm:sqref>
        </x14:conditionalFormatting>
        <x14:conditionalFormatting xmlns:xm="http://schemas.microsoft.com/office/excel/2006/main">
          <x14:cfRule type="iconSet" priority="149" id="{8723E084-E66D-4067-931A-2392BA49DF80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C39:AA43</xm:sqref>
        </x14:conditionalFormatting>
        <x14:conditionalFormatting xmlns:xm="http://schemas.microsoft.com/office/excel/2006/main">
          <x14:cfRule type="iconSet" priority="151" id="{476B63D9-C13A-43CB-95EE-2D7EDDD4E2B4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C45:AA47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77"/>
  <sheetViews>
    <sheetView zoomScale="50" zoomScaleNormal="50" workbookViewId="0">
      <selection activeCell="AE10" sqref="AE10"/>
    </sheetView>
  </sheetViews>
  <sheetFormatPr baseColWidth="10" defaultRowHeight="14.4" x14ac:dyDescent="0.3"/>
  <cols>
    <col min="1" max="1" width="6.44140625" customWidth="1"/>
    <col min="2" max="2" width="44" customWidth="1"/>
    <col min="3" max="27" width="12.6640625" customWidth="1"/>
    <col min="28" max="31" width="10.6640625" customWidth="1"/>
    <col min="32" max="35" width="22.33203125" customWidth="1"/>
    <col min="36" max="36" width="21" customWidth="1"/>
    <col min="38" max="38" width="17.5546875" customWidth="1"/>
  </cols>
  <sheetData>
    <row r="1" spans="1:40" ht="33.6" thickBot="1" x14ac:dyDescent="0.65">
      <c r="A1" s="129" t="s">
        <v>80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1"/>
      <c r="AK1" s="1"/>
      <c r="AL1" s="1"/>
      <c r="AM1" s="1"/>
      <c r="AN1" s="1"/>
    </row>
    <row r="2" spans="1:40" ht="16.2" thickBo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"/>
      <c r="AL2" s="1"/>
      <c r="AM2" s="1"/>
      <c r="AN2" s="1"/>
    </row>
    <row r="3" spans="1:40" ht="21.6" thickBot="1" x14ac:dyDescent="0.45">
      <c r="A3" s="132" t="s">
        <v>0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6"/>
      <c r="AK3" s="1"/>
      <c r="AL3" s="1"/>
      <c r="AM3" s="1"/>
      <c r="AN3" s="1"/>
    </row>
    <row r="4" spans="1:40" ht="16.2" thickBot="1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"/>
      <c r="AL4" s="1"/>
      <c r="AM4" s="1"/>
      <c r="AN4" s="1"/>
    </row>
    <row r="5" spans="1:40" ht="52.5" customHeight="1" thickBot="1" x14ac:dyDescent="0.35">
      <c r="A5" s="137" t="s">
        <v>1</v>
      </c>
      <c r="B5" s="17" t="s">
        <v>2</v>
      </c>
      <c r="C5" s="139" t="s">
        <v>50</v>
      </c>
      <c r="D5" s="140"/>
      <c r="E5" s="140"/>
      <c r="F5" s="140"/>
      <c r="G5" s="140"/>
      <c r="H5" s="140"/>
      <c r="I5" s="140"/>
      <c r="J5" s="140"/>
      <c r="K5" s="140"/>
      <c r="L5" s="213"/>
      <c r="M5" s="139" t="s">
        <v>58</v>
      </c>
      <c r="N5" s="140"/>
      <c r="O5" s="140"/>
      <c r="P5" s="140"/>
      <c r="Q5" s="140"/>
      <c r="R5" s="213"/>
      <c r="S5" s="139" t="s">
        <v>64</v>
      </c>
      <c r="T5" s="140"/>
      <c r="U5" s="140"/>
      <c r="V5" s="140"/>
      <c r="W5" s="140"/>
      <c r="X5" s="213"/>
      <c r="Y5" s="139" t="s">
        <v>66</v>
      </c>
      <c r="Z5" s="140"/>
      <c r="AA5" s="213"/>
      <c r="AB5" s="141" t="s">
        <v>3</v>
      </c>
      <c r="AC5" s="142"/>
      <c r="AD5" s="143"/>
      <c r="AE5" s="144"/>
      <c r="AF5" s="145" t="s">
        <v>2</v>
      </c>
      <c r="AG5" s="214"/>
      <c r="AH5" s="214"/>
      <c r="AI5" s="215"/>
      <c r="AJ5" s="216" t="s">
        <v>4</v>
      </c>
      <c r="AK5" s="1"/>
      <c r="AL5" s="1"/>
      <c r="AM5" s="1"/>
      <c r="AN5" s="1"/>
    </row>
    <row r="6" spans="1:40" ht="151.5" customHeight="1" thickBot="1" x14ac:dyDescent="0.35">
      <c r="A6" s="138"/>
      <c r="B6" s="18" t="s">
        <v>5</v>
      </c>
      <c r="C6" s="98" t="s">
        <v>46</v>
      </c>
      <c r="D6" s="99" t="s">
        <v>47</v>
      </c>
      <c r="E6" s="99" t="s">
        <v>46</v>
      </c>
      <c r="F6" s="99" t="s">
        <v>47</v>
      </c>
      <c r="G6" s="99" t="s">
        <v>48</v>
      </c>
      <c r="H6" s="99" t="s">
        <v>47</v>
      </c>
      <c r="I6" s="99" t="s">
        <v>48</v>
      </c>
      <c r="J6" s="100" t="s">
        <v>47</v>
      </c>
      <c r="K6" s="99" t="s">
        <v>49</v>
      </c>
      <c r="L6" s="101" t="s">
        <v>49</v>
      </c>
      <c r="M6" s="20" t="s">
        <v>52</v>
      </c>
      <c r="N6" s="21" t="s">
        <v>71</v>
      </c>
      <c r="O6" s="21" t="s">
        <v>51</v>
      </c>
      <c r="P6" s="21" t="s">
        <v>57</v>
      </c>
      <c r="Q6" s="21" t="s">
        <v>71</v>
      </c>
      <c r="R6" s="89" t="s">
        <v>51</v>
      </c>
      <c r="S6" s="20" t="s">
        <v>59</v>
      </c>
      <c r="T6" s="21" t="s">
        <v>59</v>
      </c>
      <c r="U6" s="21" t="s">
        <v>60</v>
      </c>
      <c r="V6" s="21" t="s">
        <v>59</v>
      </c>
      <c r="W6" s="21" t="s">
        <v>61</v>
      </c>
      <c r="X6" s="89" t="s">
        <v>62</v>
      </c>
      <c r="Y6" s="20" t="s">
        <v>63</v>
      </c>
      <c r="Z6" s="21" t="s">
        <v>65</v>
      </c>
      <c r="AA6" s="89" t="s">
        <v>65</v>
      </c>
      <c r="AB6" s="199" t="s">
        <v>6</v>
      </c>
      <c r="AC6" s="201" t="s">
        <v>68</v>
      </c>
      <c r="AD6" s="203" t="s">
        <v>7</v>
      </c>
      <c r="AE6" s="125" t="s">
        <v>8</v>
      </c>
      <c r="AF6" s="127" t="s">
        <v>50</v>
      </c>
      <c r="AG6" s="218" t="s">
        <v>58</v>
      </c>
      <c r="AH6" s="220" t="s">
        <v>64</v>
      </c>
      <c r="AI6" s="218" t="s">
        <v>66</v>
      </c>
      <c r="AJ6" s="217"/>
      <c r="AK6" s="1"/>
      <c r="AL6" s="1"/>
      <c r="AM6" s="1"/>
      <c r="AN6" s="1"/>
    </row>
    <row r="7" spans="1:40" ht="24" customHeight="1" thickBot="1" x14ac:dyDescent="0.35">
      <c r="A7" s="138"/>
      <c r="B7" s="22" t="s">
        <v>9</v>
      </c>
      <c r="C7" s="102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03" t="s">
        <v>16</v>
      </c>
      <c r="J7" s="103" t="s">
        <v>17</v>
      </c>
      <c r="K7" s="103" t="s">
        <v>18</v>
      </c>
      <c r="L7" s="104" t="s">
        <v>19</v>
      </c>
      <c r="M7" s="23" t="s">
        <v>20</v>
      </c>
      <c r="N7" s="24" t="s">
        <v>21</v>
      </c>
      <c r="O7" s="24" t="s">
        <v>22</v>
      </c>
      <c r="P7" s="24" t="s">
        <v>23</v>
      </c>
      <c r="Q7" s="24" t="s">
        <v>24</v>
      </c>
      <c r="R7" s="26" t="s">
        <v>25</v>
      </c>
      <c r="S7" s="23" t="s">
        <v>26</v>
      </c>
      <c r="T7" s="24" t="s">
        <v>27</v>
      </c>
      <c r="U7" s="24" t="s">
        <v>28</v>
      </c>
      <c r="V7" s="24" t="s">
        <v>29</v>
      </c>
      <c r="W7" s="24" t="s">
        <v>53</v>
      </c>
      <c r="X7" s="26" t="s">
        <v>54</v>
      </c>
      <c r="Y7" s="23" t="s">
        <v>55</v>
      </c>
      <c r="Z7" s="24" t="s">
        <v>56</v>
      </c>
      <c r="AA7" s="26" t="s">
        <v>67</v>
      </c>
      <c r="AB7" s="200"/>
      <c r="AC7" s="202"/>
      <c r="AD7" s="204"/>
      <c r="AE7" s="126"/>
      <c r="AF7" s="128"/>
      <c r="AG7" s="219"/>
      <c r="AH7" s="221"/>
      <c r="AI7" s="219"/>
      <c r="AJ7" s="217"/>
      <c r="AK7" s="1"/>
      <c r="AL7" s="1"/>
      <c r="AM7" s="1"/>
      <c r="AN7" s="1"/>
    </row>
    <row r="8" spans="1:40" ht="20.100000000000001" customHeight="1" x14ac:dyDescent="0.3">
      <c r="A8" s="27">
        <v>1</v>
      </c>
      <c r="B8" s="28"/>
      <c r="C8" s="29">
        <v>3</v>
      </c>
      <c r="D8" s="30">
        <v>3</v>
      </c>
      <c r="E8" s="30">
        <v>3</v>
      </c>
      <c r="F8" s="30">
        <v>3</v>
      </c>
      <c r="G8" s="30">
        <v>3</v>
      </c>
      <c r="H8" s="30">
        <v>3</v>
      </c>
      <c r="I8" s="30">
        <v>3</v>
      </c>
      <c r="J8" s="30">
        <v>3</v>
      </c>
      <c r="K8" s="30">
        <v>3</v>
      </c>
      <c r="L8" s="90">
        <v>3</v>
      </c>
      <c r="M8" s="29">
        <v>3</v>
      </c>
      <c r="N8" s="30">
        <v>3</v>
      </c>
      <c r="O8" s="30">
        <v>3</v>
      </c>
      <c r="P8" s="30">
        <v>1</v>
      </c>
      <c r="Q8" s="30">
        <v>3</v>
      </c>
      <c r="R8" s="90">
        <v>3</v>
      </c>
      <c r="S8" s="29">
        <v>3</v>
      </c>
      <c r="T8" s="30">
        <v>3</v>
      </c>
      <c r="U8" s="30">
        <v>3</v>
      </c>
      <c r="V8" s="30">
        <v>3</v>
      </c>
      <c r="W8" s="30">
        <v>3</v>
      </c>
      <c r="X8" s="90">
        <v>3</v>
      </c>
      <c r="Y8" s="29">
        <v>0</v>
      </c>
      <c r="Z8" s="30">
        <v>0</v>
      </c>
      <c r="AA8" s="90">
        <v>0</v>
      </c>
      <c r="AB8" s="63">
        <f t="shared" ref="AB8:AB47" si="0">COUNTIF(C8:AA8,3)</f>
        <v>21</v>
      </c>
      <c r="AC8" s="63">
        <f t="shared" ref="AC8:AC47" si="1">COUNTIF(C8:AA8,2)</f>
        <v>0</v>
      </c>
      <c r="AD8" s="64">
        <f t="shared" ref="AD8:AD47" si="2">COUNTIF(C8:AA8,1)</f>
        <v>1</v>
      </c>
      <c r="AE8" s="63">
        <f t="shared" ref="AE8:AE47" si="3">COUNTIF(C8:AA8,0)</f>
        <v>3</v>
      </c>
      <c r="AF8" s="65" t="str">
        <f>IF(COUNTA(C8:L8)=0,"",
   IF(COUNTIF(C8:L8,3)&lt;=2,"Previo al Inicio",
      IF(COUNTIF(C8:L8,3)&lt;=5,"Inicio",
         IF(COUNTIF(C8:L8,3)&lt;=8,"Proceso",
            IF(COUNTIF(C8:L8,3)&lt;=10,"Logrado","")))))</f>
        <v>Logrado</v>
      </c>
      <c r="AG8" s="63" t="str">
        <f>IF(COUNTA(M8:R8)=0,"",
   IF(COUNTIF(M8:R8,3)&lt;=1,"Previo al Inicio",
      IF(COUNTIF(M8:R8,3)&lt;=3,"Inicio",
         IF(COUNTIF(M8:R8,3)&lt;=5,"Proceso",
            IF(COUNTIF(M8:R8,3)=6,"Logrado","")))))</f>
        <v>Proceso</v>
      </c>
      <c r="AH8" s="64" t="str">
        <f>IF(COUNTA(S8:X8)=0,"",
   IF(COUNTIF(S8:X8,3)&lt;=1,"Previo al Inicio",
      IF(COUNTIF(S8:X8,3)&lt;=3,"Inicio",
         IF(COUNTIF(S8:X8,3)&lt;=5,"Proceso",
            IF(COUNTIF(S8:X8,3)&lt;=6,"Logrado","")))))</f>
        <v>Logrado</v>
      </c>
      <c r="AI8" s="63" t="str">
        <f>IF(COUNTA(Y8:AA8)=0,"",
   IF(COUNTIF(Y8:AA8,3)=0,"Previo al Inicio",
      IF(COUNTIF(Y8:AA8,3)=1,"Inicio",
         IF(COUNTIF(Y8:AA8,3)=2,"Proceso",
            IF(COUNTIF(Y8:AA8,3)=3,"Logrado","")))))</f>
        <v>Previo al Inicio</v>
      </c>
      <c r="AJ8" s="70" t="str">
        <f>IF(COUNTA(C8:AA8)=0,"",
   IF(COUNTIF(C8:AA8,3)&lt;=6,"Previo al Inicio",
      IF(COUNTIF(C8:AA8,3)&lt;=13,"Inicio",
         IF(COUNTIF(C8:AA8,3)&lt;=20,"Proceso",
            IF(COUNTIF(C8:AA8,3)&lt;=25,"Logrado","")))))</f>
        <v>Logrado</v>
      </c>
      <c r="AK8" s="1"/>
      <c r="AL8" s="1"/>
      <c r="AM8" s="1"/>
      <c r="AN8" s="1"/>
    </row>
    <row r="9" spans="1:40" ht="20.100000000000001" customHeight="1" x14ac:dyDescent="0.3">
      <c r="A9" s="33">
        <v>2</v>
      </c>
      <c r="B9" s="34"/>
      <c r="C9" s="35"/>
      <c r="D9" s="36"/>
      <c r="E9" s="36"/>
      <c r="F9" s="36"/>
      <c r="G9" s="36"/>
      <c r="H9" s="36"/>
      <c r="I9" s="36"/>
      <c r="J9" s="36"/>
      <c r="K9" s="36"/>
      <c r="L9" s="91"/>
      <c r="M9" s="35">
        <v>3</v>
      </c>
      <c r="N9" s="36">
        <v>3</v>
      </c>
      <c r="O9" s="36">
        <v>3</v>
      </c>
      <c r="P9" s="36"/>
      <c r="Q9" s="36">
        <v>3</v>
      </c>
      <c r="R9" s="91"/>
      <c r="S9" s="35">
        <v>3</v>
      </c>
      <c r="T9" s="36">
        <v>3</v>
      </c>
      <c r="U9" s="36"/>
      <c r="V9" s="36">
        <v>2</v>
      </c>
      <c r="W9" s="36"/>
      <c r="X9" s="91"/>
      <c r="Y9" s="35"/>
      <c r="Z9" s="36"/>
      <c r="AA9" s="91"/>
      <c r="AB9" s="66">
        <f t="shared" si="0"/>
        <v>6</v>
      </c>
      <c r="AC9" s="66">
        <f t="shared" si="1"/>
        <v>1</v>
      </c>
      <c r="AD9" s="67">
        <f t="shared" si="2"/>
        <v>0</v>
      </c>
      <c r="AE9" s="66">
        <f t="shared" si="3"/>
        <v>0</v>
      </c>
      <c r="AF9" s="65" t="str">
        <f t="shared" ref="AF9:AF47" si="4">IF(COUNTA(C9:L9)=0,"",
   IF(COUNTIF(C9:L9,3)&lt;=2,"Previo al Inicio",
      IF(COUNTIF(C9:L9,3)&lt;=5,"Inicio",
         IF(COUNTIF(C9:L9,3)&lt;=8,"Proceso",
            IF(COUNTIF(C9:L9,3)&lt;=10,"Logrado","")))))</f>
        <v/>
      </c>
      <c r="AG9" s="63" t="str">
        <f t="shared" ref="AG9:AG47" si="5">IF(COUNTA(M9:R9)=0,"",
   IF(COUNTIF(M9:R9,3)&lt;=1,"Previo al Inicio",
      IF(COUNTIF(M9:R9,3)&lt;=3,"Inicio",
         IF(COUNTIF(M9:R9,3)&lt;=5,"Proceso",
            IF(COUNTIF(M9:R9,3)=6,"Logrado","")))))</f>
        <v>Proceso</v>
      </c>
      <c r="AH9" s="64" t="str">
        <f t="shared" ref="AH9:AH47" si="6">IF(COUNTA(S9:X9)=0,"",
   IF(COUNTIF(S9:X9,3)&lt;=1,"Previo al Inicio",
      IF(COUNTIF(S9:X9,3)&lt;=3,"Inicio",
         IF(COUNTIF(S9:X9,3)&lt;=5,"Proceso",
            IF(COUNTIF(S9:X9,3)&lt;=6,"Logrado","")))))</f>
        <v>Inicio</v>
      </c>
      <c r="AI9" s="63" t="str">
        <f t="shared" ref="AI9:AI47" si="7">IF(COUNTA(Y9:AA9)=0,"",
   IF(COUNTIF(Y9:AA9,3)=0,"Previo al Inicio",
      IF(COUNTIF(Y9:AA9,3)=1,"Inicio",
         IF(COUNTIF(Y9:AA9,3)=2,"Proceso",
            IF(COUNTIF(Y9:AA9,3)=3,"Logrado","")))))</f>
        <v/>
      </c>
      <c r="AJ9" s="70" t="str">
        <f t="shared" ref="AJ9:AJ47" si="8">IF(COUNTA(C9:AA9)=0,"",
   IF(COUNTIF(C9:AA9,3)&lt;=6,"Previo al Inicio",
      IF(COUNTIF(C9:AA9,3)&lt;=13,"Inicio",
         IF(COUNTIF(C9:AA9,3)&lt;=20,"Proceso",
            IF(COUNTIF(C9:AA9,3)&lt;=25,"Logrado","")))))</f>
        <v>Previo al Inicio</v>
      </c>
      <c r="AK9" s="1"/>
      <c r="AL9" s="1"/>
      <c r="AM9" s="1"/>
      <c r="AN9" s="1"/>
    </row>
    <row r="10" spans="1:40" ht="20.100000000000001" customHeight="1" x14ac:dyDescent="0.3">
      <c r="A10" s="27">
        <v>3</v>
      </c>
      <c r="B10" s="38"/>
      <c r="C10" s="39"/>
      <c r="D10" s="40"/>
      <c r="E10" s="40"/>
      <c r="F10" s="40"/>
      <c r="G10" s="40"/>
      <c r="H10" s="40"/>
      <c r="I10" s="40"/>
      <c r="J10" s="40"/>
      <c r="K10" s="40"/>
      <c r="L10" s="92"/>
      <c r="M10" s="39">
        <v>3</v>
      </c>
      <c r="N10" s="40">
        <v>3</v>
      </c>
      <c r="O10" s="40">
        <v>3</v>
      </c>
      <c r="P10" s="40"/>
      <c r="Q10" s="40">
        <v>3</v>
      </c>
      <c r="R10" s="92"/>
      <c r="S10" s="39">
        <v>3</v>
      </c>
      <c r="T10" s="40">
        <v>2</v>
      </c>
      <c r="U10" s="40">
        <v>1</v>
      </c>
      <c r="V10" s="40">
        <v>3</v>
      </c>
      <c r="W10" s="40"/>
      <c r="X10" s="92">
        <v>3</v>
      </c>
      <c r="Y10" s="39">
        <v>3</v>
      </c>
      <c r="Z10" s="40">
        <v>3</v>
      </c>
      <c r="AA10" s="92">
        <v>3</v>
      </c>
      <c r="AB10" s="62">
        <f t="shared" si="0"/>
        <v>10</v>
      </c>
      <c r="AC10" s="62">
        <f t="shared" si="1"/>
        <v>1</v>
      </c>
      <c r="AD10" s="68">
        <f t="shared" si="2"/>
        <v>1</v>
      </c>
      <c r="AE10" s="62">
        <f t="shared" si="3"/>
        <v>0</v>
      </c>
      <c r="AF10" s="65" t="str">
        <f t="shared" si="4"/>
        <v/>
      </c>
      <c r="AG10" s="63" t="str">
        <f t="shared" si="5"/>
        <v>Proceso</v>
      </c>
      <c r="AH10" s="64" t="str">
        <f t="shared" si="6"/>
        <v>Inicio</v>
      </c>
      <c r="AI10" s="63" t="str">
        <f t="shared" si="7"/>
        <v>Logrado</v>
      </c>
      <c r="AJ10" s="70" t="str">
        <f t="shared" si="8"/>
        <v>Inicio</v>
      </c>
      <c r="AK10" s="1"/>
      <c r="AL10" s="1"/>
      <c r="AM10" s="1"/>
      <c r="AN10" s="1"/>
    </row>
    <row r="11" spans="1:40" ht="20.100000000000001" customHeight="1" x14ac:dyDescent="0.3">
      <c r="A11" s="33">
        <v>4</v>
      </c>
      <c r="B11" s="34"/>
      <c r="C11" s="35"/>
      <c r="D11" s="36"/>
      <c r="E11" s="36"/>
      <c r="F11" s="36"/>
      <c r="G11" s="36"/>
      <c r="H11" s="36"/>
      <c r="I11" s="36"/>
      <c r="J11" s="36"/>
      <c r="K11" s="36"/>
      <c r="L11" s="91"/>
      <c r="M11" s="35"/>
      <c r="N11" s="36"/>
      <c r="O11" s="36"/>
      <c r="P11" s="36"/>
      <c r="Q11" s="36"/>
      <c r="R11" s="91"/>
      <c r="S11" s="35"/>
      <c r="T11" s="36"/>
      <c r="U11" s="36"/>
      <c r="V11" s="36"/>
      <c r="W11" s="36"/>
      <c r="X11" s="91"/>
      <c r="Y11" s="35"/>
      <c r="Z11" s="36"/>
      <c r="AA11" s="91"/>
      <c r="AB11" s="66">
        <f t="shared" si="0"/>
        <v>0</v>
      </c>
      <c r="AC11" s="66">
        <f t="shared" si="1"/>
        <v>0</v>
      </c>
      <c r="AD11" s="67">
        <f t="shared" si="2"/>
        <v>0</v>
      </c>
      <c r="AE11" s="66">
        <f t="shared" si="3"/>
        <v>0</v>
      </c>
      <c r="AF11" s="65" t="str">
        <f t="shared" si="4"/>
        <v/>
      </c>
      <c r="AG11" s="63" t="str">
        <f t="shared" si="5"/>
        <v/>
      </c>
      <c r="AH11" s="64" t="str">
        <f t="shared" si="6"/>
        <v/>
      </c>
      <c r="AI11" s="63" t="str">
        <f t="shared" si="7"/>
        <v/>
      </c>
      <c r="AJ11" s="70" t="str">
        <f t="shared" si="8"/>
        <v/>
      </c>
      <c r="AK11" s="1"/>
      <c r="AL11" s="1"/>
      <c r="AM11" s="1"/>
      <c r="AN11" s="1"/>
    </row>
    <row r="12" spans="1:40" ht="20.100000000000001" customHeight="1" x14ac:dyDescent="0.3">
      <c r="A12" s="27">
        <v>5</v>
      </c>
      <c r="B12" s="38"/>
      <c r="C12" s="39"/>
      <c r="D12" s="40"/>
      <c r="E12" s="40"/>
      <c r="F12" s="40"/>
      <c r="G12" s="40"/>
      <c r="H12" s="40"/>
      <c r="I12" s="40"/>
      <c r="J12" s="40"/>
      <c r="K12" s="40"/>
      <c r="L12" s="92"/>
      <c r="M12" s="39"/>
      <c r="N12" s="40"/>
      <c r="O12" s="40"/>
      <c r="P12" s="40"/>
      <c r="Q12" s="40"/>
      <c r="R12" s="92"/>
      <c r="S12" s="39"/>
      <c r="T12" s="40"/>
      <c r="U12" s="40"/>
      <c r="V12" s="40"/>
      <c r="W12" s="40"/>
      <c r="X12" s="92"/>
      <c r="Y12" s="39"/>
      <c r="Z12" s="40"/>
      <c r="AA12" s="92"/>
      <c r="AB12" s="62">
        <f t="shared" si="0"/>
        <v>0</v>
      </c>
      <c r="AC12" s="62">
        <f t="shared" si="1"/>
        <v>0</v>
      </c>
      <c r="AD12" s="68">
        <f t="shared" si="2"/>
        <v>0</v>
      </c>
      <c r="AE12" s="62">
        <f t="shared" si="3"/>
        <v>0</v>
      </c>
      <c r="AF12" s="65" t="str">
        <f t="shared" si="4"/>
        <v/>
      </c>
      <c r="AG12" s="63" t="str">
        <f t="shared" si="5"/>
        <v/>
      </c>
      <c r="AH12" s="64" t="str">
        <f t="shared" si="6"/>
        <v/>
      </c>
      <c r="AI12" s="63" t="str">
        <f t="shared" si="7"/>
        <v/>
      </c>
      <c r="AJ12" s="70" t="str">
        <f t="shared" si="8"/>
        <v/>
      </c>
      <c r="AK12" s="1"/>
      <c r="AL12" s="1"/>
      <c r="AM12" s="1"/>
      <c r="AN12" s="1"/>
    </row>
    <row r="13" spans="1:40" ht="20.100000000000001" customHeight="1" x14ac:dyDescent="0.3">
      <c r="A13" s="33">
        <v>6</v>
      </c>
      <c r="B13" s="34"/>
      <c r="C13" s="35"/>
      <c r="D13" s="36"/>
      <c r="E13" s="36"/>
      <c r="F13" s="36"/>
      <c r="G13" s="36"/>
      <c r="H13" s="36"/>
      <c r="I13" s="36"/>
      <c r="J13" s="36"/>
      <c r="K13" s="36"/>
      <c r="L13" s="91"/>
      <c r="M13" s="35"/>
      <c r="N13" s="36"/>
      <c r="O13" s="36"/>
      <c r="P13" s="36"/>
      <c r="Q13" s="36"/>
      <c r="R13" s="91"/>
      <c r="S13" s="35">
        <v>3</v>
      </c>
      <c r="T13" s="36">
        <v>3</v>
      </c>
      <c r="U13" s="36"/>
      <c r="V13" s="36"/>
      <c r="W13" s="36"/>
      <c r="X13" s="91"/>
      <c r="Y13" s="35"/>
      <c r="Z13" s="36"/>
      <c r="AA13" s="91"/>
      <c r="AB13" s="66">
        <f t="shared" si="0"/>
        <v>2</v>
      </c>
      <c r="AC13" s="66">
        <f t="shared" si="1"/>
        <v>0</v>
      </c>
      <c r="AD13" s="67">
        <f t="shared" si="2"/>
        <v>0</v>
      </c>
      <c r="AE13" s="66">
        <f t="shared" si="3"/>
        <v>0</v>
      </c>
      <c r="AF13" s="65" t="str">
        <f t="shared" si="4"/>
        <v/>
      </c>
      <c r="AG13" s="63" t="str">
        <f t="shared" si="5"/>
        <v/>
      </c>
      <c r="AH13" s="64" t="str">
        <f t="shared" si="6"/>
        <v>Inicio</v>
      </c>
      <c r="AI13" s="63" t="str">
        <f t="shared" si="7"/>
        <v/>
      </c>
      <c r="AJ13" s="70" t="str">
        <f t="shared" si="8"/>
        <v>Previo al Inicio</v>
      </c>
      <c r="AK13" s="1"/>
      <c r="AL13" s="1"/>
      <c r="AM13" s="1"/>
      <c r="AN13" s="1"/>
    </row>
    <row r="14" spans="1:40" ht="20.100000000000001" customHeight="1" x14ac:dyDescent="0.3">
      <c r="A14" s="27">
        <v>7</v>
      </c>
      <c r="B14" s="38"/>
      <c r="C14" s="39"/>
      <c r="D14" s="40"/>
      <c r="E14" s="40"/>
      <c r="F14" s="40"/>
      <c r="G14" s="40"/>
      <c r="H14" s="40"/>
      <c r="I14" s="40"/>
      <c r="J14" s="40"/>
      <c r="K14" s="40"/>
      <c r="L14" s="92"/>
      <c r="M14" s="39"/>
      <c r="N14" s="40"/>
      <c r="O14" s="40"/>
      <c r="P14" s="40"/>
      <c r="Q14" s="40"/>
      <c r="R14" s="92"/>
      <c r="S14" s="39"/>
      <c r="T14" s="40"/>
      <c r="U14" s="40"/>
      <c r="V14" s="40"/>
      <c r="W14" s="40"/>
      <c r="X14" s="92"/>
      <c r="Y14" s="39"/>
      <c r="Z14" s="40"/>
      <c r="AA14" s="92"/>
      <c r="AB14" s="62">
        <f t="shared" si="0"/>
        <v>0</v>
      </c>
      <c r="AC14" s="62">
        <f t="shared" si="1"/>
        <v>0</v>
      </c>
      <c r="AD14" s="68">
        <f t="shared" si="2"/>
        <v>0</v>
      </c>
      <c r="AE14" s="62">
        <f t="shared" si="3"/>
        <v>0</v>
      </c>
      <c r="AF14" s="65" t="str">
        <f t="shared" si="4"/>
        <v/>
      </c>
      <c r="AG14" s="63" t="str">
        <f t="shared" si="5"/>
        <v/>
      </c>
      <c r="AH14" s="64" t="str">
        <f t="shared" si="6"/>
        <v/>
      </c>
      <c r="AI14" s="63" t="str">
        <f t="shared" si="7"/>
        <v/>
      </c>
      <c r="AJ14" s="70" t="str">
        <f t="shared" si="8"/>
        <v/>
      </c>
      <c r="AK14" s="1"/>
      <c r="AL14" s="1"/>
      <c r="AM14" s="1"/>
      <c r="AN14" s="1"/>
    </row>
    <row r="15" spans="1:40" ht="20.100000000000001" customHeight="1" x14ac:dyDescent="0.3">
      <c r="A15" s="33">
        <v>8</v>
      </c>
      <c r="B15" s="34"/>
      <c r="C15" s="35"/>
      <c r="D15" s="36"/>
      <c r="E15" s="36"/>
      <c r="F15" s="36"/>
      <c r="G15" s="36"/>
      <c r="H15" s="36"/>
      <c r="I15" s="36"/>
      <c r="J15" s="36"/>
      <c r="K15" s="36"/>
      <c r="L15" s="91"/>
      <c r="M15" s="35"/>
      <c r="N15" s="36"/>
      <c r="O15" s="36"/>
      <c r="P15" s="36"/>
      <c r="Q15" s="36"/>
      <c r="R15" s="91"/>
      <c r="S15" s="35"/>
      <c r="T15" s="36"/>
      <c r="U15" s="36"/>
      <c r="V15" s="36"/>
      <c r="W15" s="36"/>
      <c r="X15" s="91"/>
      <c r="Y15" s="35"/>
      <c r="Z15" s="36"/>
      <c r="AA15" s="91"/>
      <c r="AB15" s="66">
        <f t="shared" si="0"/>
        <v>0</v>
      </c>
      <c r="AC15" s="66">
        <f t="shared" si="1"/>
        <v>0</v>
      </c>
      <c r="AD15" s="67">
        <f t="shared" si="2"/>
        <v>0</v>
      </c>
      <c r="AE15" s="66">
        <f t="shared" si="3"/>
        <v>0</v>
      </c>
      <c r="AF15" s="65" t="str">
        <f t="shared" si="4"/>
        <v/>
      </c>
      <c r="AG15" s="63" t="str">
        <f t="shared" si="5"/>
        <v/>
      </c>
      <c r="AH15" s="64" t="str">
        <f t="shared" si="6"/>
        <v/>
      </c>
      <c r="AI15" s="63" t="str">
        <f t="shared" si="7"/>
        <v/>
      </c>
      <c r="AJ15" s="70" t="str">
        <f t="shared" si="8"/>
        <v/>
      </c>
      <c r="AK15" s="1"/>
      <c r="AL15" s="1"/>
      <c r="AM15" s="1"/>
      <c r="AN15" s="1"/>
    </row>
    <row r="16" spans="1:40" ht="20.100000000000001" customHeight="1" x14ac:dyDescent="0.3">
      <c r="A16" s="27">
        <v>9</v>
      </c>
      <c r="B16" s="38"/>
      <c r="C16" s="39"/>
      <c r="D16" s="40"/>
      <c r="E16" s="40"/>
      <c r="F16" s="40"/>
      <c r="G16" s="40"/>
      <c r="H16" s="40"/>
      <c r="I16" s="40"/>
      <c r="J16" s="40"/>
      <c r="K16" s="40"/>
      <c r="L16" s="92"/>
      <c r="M16" s="39"/>
      <c r="N16" s="40"/>
      <c r="O16" s="40"/>
      <c r="P16" s="40"/>
      <c r="Q16" s="40"/>
      <c r="R16" s="92"/>
      <c r="S16" s="39"/>
      <c r="T16" s="40"/>
      <c r="U16" s="40"/>
      <c r="V16" s="40"/>
      <c r="W16" s="40"/>
      <c r="X16" s="92"/>
      <c r="Y16" s="39"/>
      <c r="Z16" s="40"/>
      <c r="AA16" s="92"/>
      <c r="AB16" s="62">
        <f t="shared" si="0"/>
        <v>0</v>
      </c>
      <c r="AC16" s="62">
        <f t="shared" si="1"/>
        <v>0</v>
      </c>
      <c r="AD16" s="68">
        <f t="shared" si="2"/>
        <v>0</v>
      </c>
      <c r="AE16" s="62">
        <f t="shared" si="3"/>
        <v>0</v>
      </c>
      <c r="AF16" s="65" t="str">
        <f t="shared" si="4"/>
        <v/>
      </c>
      <c r="AG16" s="63" t="str">
        <f t="shared" si="5"/>
        <v/>
      </c>
      <c r="AH16" s="64" t="str">
        <f t="shared" si="6"/>
        <v/>
      </c>
      <c r="AI16" s="63" t="str">
        <f t="shared" si="7"/>
        <v/>
      </c>
      <c r="AJ16" s="70" t="str">
        <f t="shared" si="8"/>
        <v/>
      </c>
      <c r="AK16" s="1"/>
      <c r="AL16" s="1"/>
      <c r="AM16" s="1"/>
      <c r="AN16" s="1"/>
    </row>
    <row r="17" spans="1:40" ht="20.100000000000001" customHeight="1" x14ac:dyDescent="0.3">
      <c r="A17" s="33">
        <v>10</v>
      </c>
      <c r="B17" s="34"/>
      <c r="C17" s="35"/>
      <c r="D17" s="36"/>
      <c r="E17" s="36"/>
      <c r="F17" s="36"/>
      <c r="G17" s="36"/>
      <c r="H17" s="36"/>
      <c r="I17" s="36"/>
      <c r="J17" s="36"/>
      <c r="K17" s="36"/>
      <c r="L17" s="91"/>
      <c r="M17" s="35"/>
      <c r="N17" s="36"/>
      <c r="O17" s="36"/>
      <c r="P17" s="36"/>
      <c r="Q17" s="36"/>
      <c r="R17" s="91"/>
      <c r="S17" s="35"/>
      <c r="T17" s="36"/>
      <c r="U17" s="36"/>
      <c r="V17" s="36"/>
      <c r="W17" s="36"/>
      <c r="X17" s="91"/>
      <c r="Y17" s="35"/>
      <c r="Z17" s="36"/>
      <c r="AA17" s="91"/>
      <c r="AB17" s="66">
        <f t="shared" si="0"/>
        <v>0</v>
      </c>
      <c r="AC17" s="66">
        <f t="shared" si="1"/>
        <v>0</v>
      </c>
      <c r="AD17" s="67">
        <f t="shared" si="2"/>
        <v>0</v>
      </c>
      <c r="AE17" s="66">
        <f t="shared" si="3"/>
        <v>0</v>
      </c>
      <c r="AF17" s="65" t="str">
        <f t="shared" si="4"/>
        <v/>
      </c>
      <c r="AG17" s="63" t="str">
        <f t="shared" si="5"/>
        <v/>
      </c>
      <c r="AH17" s="64" t="str">
        <f t="shared" si="6"/>
        <v/>
      </c>
      <c r="AI17" s="63" t="str">
        <f t="shared" si="7"/>
        <v/>
      </c>
      <c r="AJ17" s="70" t="str">
        <f t="shared" si="8"/>
        <v/>
      </c>
      <c r="AK17" s="1"/>
      <c r="AL17" s="1"/>
      <c r="AM17" s="1"/>
      <c r="AN17" s="1"/>
    </row>
    <row r="18" spans="1:40" ht="20.100000000000001" customHeight="1" x14ac:dyDescent="0.3">
      <c r="A18" s="27">
        <v>11</v>
      </c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92"/>
      <c r="M18" s="39"/>
      <c r="N18" s="40"/>
      <c r="O18" s="40"/>
      <c r="P18" s="40"/>
      <c r="Q18" s="40"/>
      <c r="R18" s="92"/>
      <c r="S18" s="39"/>
      <c r="T18" s="40"/>
      <c r="U18" s="40"/>
      <c r="V18" s="40"/>
      <c r="W18" s="40"/>
      <c r="X18" s="92"/>
      <c r="Y18" s="39"/>
      <c r="Z18" s="40"/>
      <c r="AA18" s="92"/>
      <c r="AB18" s="62">
        <f t="shared" si="0"/>
        <v>0</v>
      </c>
      <c r="AC18" s="62">
        <f t="shared" si="1"/>
        <v>0</v>
      </c>
      <c r="AD18" s="68">
        <f t="shared" si="2"/>
        <v>0</v>
      </c>
      <c r="AE18" s="62">
        <f t="shared" si="3"/>
        <v>0</v>
      </c>
      <c r="AF18" s="65" t="str">
        <f t="shared" si="4"/>
        <v/>
      </c>
      <c r="AG18" s="63" t="str">
        <f t="shared" si="5"/>
        <v/>
      </c>
      <c r="AH18" s="64" t="str">
        <f t="shared" si="6"/>
        <v/>
      </c>
      <c r="AI18" s="63" t="str">
        <f t="shared" si="7"/>
        <v/>
      </c>
      <c r="AJ18" s="70" t="str">
        <f t="shared" si="8"/>
        <v/>
      </c>
      <c r="AK18" s="1"/>
      <c r="AL18" s="1"/>
      <c r="AM18" s="1"/>
      <c r="AN18" s="1"/>
    </row>
    <row r="19" spans="1:40" ht="20.100000000000001" customHeight="1" x14ac:dyDescent="0.3">
      <c r="A19" s="33">
        <v>12</v>
      </c>
      <c r="B19" s="34"/>
      <c r="C19" s="35"/>
      <c r="D19" s="36"/>
      <c r="E19" s="36"/>
      <c r="F19" s="36"/>
      <c r="G19" s="36"/>
      <c r="H19" s="36"/>
      <c r="I19" s="36"/>
      <c r="J19" s="36"/>
      <c r="K19" s="36"/>
      <c r="L19" s="91"/>
      <c r="M19" s="35"/>
      <c r="N19" s="36"/>
      <c r="O19" s="36"/>
      <c r="P19" s="36"/>
      <c r="Q19" s="36"/>
      <c r="R19" s="91"/>
      <c r="S19" s="35"/>
      <c r="T19" s="36"/>
      <c r="U19" s="36"/>
      <c r="V19" s="36"/>
      <c r="W19" s="36"/>
      <c r="X19" s="91"/>
      <c r="Y19" s="35"/>
      <c r="Z19" s="36"/>
      <c r="AA19" s="91"/>
      <c r="AB19" s="66">
        <f t="shared" si="0"/>
        <v>0</v>
      </c>
      <c r="AC19" s="66">
        <f t="shared" si="1"/>
        <v>0</v>
      </c>
      <c r="AD19" s="67">
        <f t="shared" si="2"/>
        <v>0</v>
      </c>
      <c r="AE19" s="66">
        <f t="shared" si="3"/>
        <v>0</v>
      </c>
      <c r="AF19" s="65" t="str">
        <f t="shared" si="4"/>
        <v/>
      </c>
      <c r="AG19" s="63" t="str">
        <f t="shared" si="5"/>
        <v/>
      </c>
      <c r="AH19" s="64" t="str">
        <f t="shared" si="6"/>
        <v/>
      </c>
      <c r="AI19" s="63" t="str">
        <f t="shared" si="7"/>
        <v/>
      </c>
      <c r="AJ19" s="70" t="str">
        <f t="shared" si="8"/>
        <v/>
      </c>
      <c r="AK19" s="1"/>
      <c r="AL19" s="1"/>
      <c r="AM19" s="1"/>
      <c r="AN19" s="1"/>
    </row>
    <row r="20" spans="1:40" ht="20.100000000000001" customHeight="1" x14ac:dyDescent="0.3">
      <c r="A20" s="27">
        <v>13</v>
      </c>
      <c r="B20" s="38"/>
      <c r="C20" s="39"/>
      <c r="D20" s="40"/>
      <c r="E20" s="40"/>
      <c r="F20" s="40"/>
      <c r="G20" s="40"/>
      <c r="H20" s="40"/>
      <c r="I20" s="40"/>
      <c r="J20" s="40"/>
      <c r="K20" s="40"/>
      <c r="L20" s="92"/>
      <c r="M20" s="39"/>
      <c r="N20" s="40"/>
      <c r="O20" s="40"/>
      <c r="P20" s="40"/>
      <c r="Q20" s="40"/>
      <c r="R20" s="92"/>
      <c r="S20" s="39"/>
      <c r="T20" s="40"/>
      <c r="U20" s="40"/>
      <c r="V20" s="40"/>
      <c r="W20" s="40"/>
      <c r="X20" s="92"/>
      <c r="Y20" s="39"/>
      <c r="Z20" s="40"/>
      <c r="AA20" s="92"/>
      <c r="AB20" s="62">
        <f t="shared" si="0"/>
        <v>0</v>
      </c>
      <c r="AC20" s="62">
        <f t="shared" si="1"/>
        <v>0</v>
      </c>
      <c r="AD20" s="68">
        <f t="shared" si="2"/>
        <v>0</v>
      </c>
      <c r="AE20" s="62">
        <f t="shared" si="3"/>
        <v>0</v>
      </c>
      <c r="AF20" s="65" t="str">
        <f t="shared" si="4"/>
        <v/>
      </c>
      <c r="AG20" s="63" t="str">
        <f t="shared" si="5"/>
        <v/>
      </c>
      <c r="AH20" s="64" t="str">
        <f t="shared" si="6"/>
        <v/>
      </c>
      <c r="AI20" s="63" t="str">
        <f t="shared" si="7"/>
        <v/>
      </c>
      <c r="AJ20" s="70" t="str">
        <f t="shared" si="8"/>
        <v/>
      </c>
      <c r="AK20" s="1"/>
      <c r="AL20" s="1"/>
      <c r="AM20" s="1"/>
      <c r="AN20" s="1"/>
    </row>
    <row r="21" spans="1:40" ht="20.100000000000001" customHeight="1" x14ac:dyDescent="0.3">
      <c r="A21" s="33">
        <v>14</v>
      </c>
      <c r="B21" s="34"/>
      <c r="C21" s="35"/>
      <c r="D21" s="36"/>
      <c r="E21" s="36"/>
      <c r="F21" s="36"/>
      <c r="G21" s="36"/>
      <c r="H21" s="36"/>
      <c r="I21" s="36"/>
      <c r="J21" s="36"/>
      <c r="K21" s="36"/>
      <c r="L21" s="91"/>
      <c r="M21" s="35"/>
      <c r="N21" s="36"/>
      <c r="O21" s="36"/>
      <c r="P21" s="36"/>
      <c r="Q21" s="36"/>
      <c r="R21" s="91"/>
      <c r="S21" s="35"/>
      <c r="T21" s="36"/>
      <c r="U21" s="36"/>
      <c r="V21" s="36"/>
      <c r="W21" s="36"/>
      <c r="X21" s="91"/>
      <c r="Y21" s="35"/>
      <c r="Z21" s="36"/>
      <c r="AA21" s="91"/>
      <c r="AB21" s="66">
        <f t="shared" si="0"/>
        <v>0</v>
      </c>
      <c r="AC21" s="66">
        <f t="shared" si="1"/>
        <v>0</v>
      </c>
      <c r="AD21" s="67">
        <f t="shared" si="2"/>
        <v>0</v>
      </c>
      <c r="AE21" s="66">
        <f t="shared" si="3"/>
        <v>0</v>
      </c>
      <c r="AF21" s="65" t="str">
        <f t="shared" si="4"/>
        <v/>
      </c>
      <c r="AG21" s="63" t="str">
        <f t="shared" si="5"/>
        <v/>
      </c>
      <c r="AH21" s="64" t="str">
        <f t="shared" si="6"/>
        <v/>
      </c>
      <c r="AI21" s="63" t="str">
        <f t="shared" si="7"/>
        <v/>
      </c>
      <c r="AJ21" s="70" t="str">
        <f t="shared" si="8"/>
        <v/>
      </c>
      <c r="AK21" s="1"/>
      <c r="AL21" s="1"/>
      <c r="AM21" s="1"/>
      <c r="AN21" s="1"/>
    </row>
    <row r="22" spans="1:40" ht="20.100000000000001" customHeight="1" x14ac:dyDescent="0.3">
      <c r="A22" s="27">
        <v>15</v>
      </c>
      <c r="B22" s="38"/>
      <c r="C22" s="39"/>
      <c r="D22" s="40"/>
      <c r="E22" s="40"/>
      <c r="F22" s="40"/>
      <c r="G22" s="40"/>
      <c r="H22" s="40"/>
      <c r="I22" s="40"/>
      <c r="J22" s="40"/>
      <c r="K22" s="40"/>
      <c r="L22" s="92"/>
      <c r="M22" s="39"/>
      <c r="N22" s="40"/>
      <c r="O22" s="40"/>
      <c r="P22" s="40"/>
      <c r="Q22" s="40"/>
      <c r="R22" s="92"/>
      <c r="S22" s="39"/>
      <c r="T22" s="40"/>
      <c r="U22" s="40"/>
      <c r="V22" s="40"/>
      <c r="W22" s="40"/>
      <c r="X22" s="92"/>
      <c r="Y22" s="39"/>
      <c r="Z22" s="40"/>
      <c r="AA22" s="92"/>
      <c r="AB22" s="62">
        <f t="shared" si="0"/>
        <v>0</v>
      </c>
      <c r="AC22" s="62">
        <f t="shared" si="1"/>
        <v>0</v>
      </c>
      <c r="AD22" s="68">
        <f t="shared" si="2"/>
        <v>0</v>
      </c>
      <c r="AE22" s="62">
        <f t="shared" si="3"/>
        <v>0</v>
      </c>
      <c r="AF22" s="65" t="str">
        <f t="shared" si="4"/>
        <v/>
      </c>
      <c r="AG22" s="63" t="str">
        <f t="shared" si="5"/>
        <v/>
      </c>
      <c r="AH22" s="64" t="str">
        <f t="shared" si="6"/>
        <v/>
      </c>
      <c r="AI22" s="63" t="str">
        <f t="shared" si="7"/>
        <v/>
      </c>
      <c r="AJ22" s="70" t="str">
        <f t="shared" si="8"/>
        <v/>
      </c>
      <c r="AK22" s="1"/>
      <c r="AL22" s="1"/>
      <c r="AM22" s="1"/>
      <c r="AN22" s="1"/>
    </row>
    <row r="23" spans="1:40" ht="20.100000000000001" customHeight="1" x14ac:dyDescent="0.3">
      <c r="A23" s="33">
        <v>16</v>
      </c>
      <c r="B23" s="34"/>
      <c r="C23" s="35"/>
      <c r="D23" s="36"/>
      <c r="E23" s="36"/>
      <c r="F23" s="36"/>
      <c r="G23" s="36"/>
      <c r="H23" s="36"/>
      <c r="I23" s="36"/>
      <c r="J23" s="36"/>
      <c r="K23" s="36"/>
      <c r="L23" s="91"/>
      <c r="M23" s="35"/>
      <c r="N23" s="36"/>
      <c r="O23" s="36"/>
      <c r="P23" s="36"/>
      <c r="Q23" s="36"/>
      <c r="R23" s="91"/>
      <c r="S23" s="35"/>
      <c r="T23" s="36"/>
      <c r="U23" s="36"/>
      <c r="V23" s="36"/>
      <c r="W23" s="36"/>
      <c r="X23" s="91"/>
      <c r="Y23" s="35"/>
      <c r="Z23" s="36"/>
      <c r="AA23" s="91"/>
      <c r="AB23" s="66">
        <f t="shared" si="0"/>
        <v>0</v>
      </c>
      <c r="AC23" s="66">
        <f t="shared" si="1"/>
        <v>0</v>
      </c>
      <c r="AD23" s="67">
        <f t="shared" si="2"/>
        <v>0</v>
      </c>
      <c r="AE23" s="66">
        <f t="shared" si="3"/>
        <v>0</v>
      </c>
      <c r="AF23" s="65" t="str">
        <f t="shared" si="4"/>
        <v/>
      </c>
      <c r="AG23" s="63" t="str">
        <f t="shared" si="5"/>
        <v/>
      </c>
      <c r="AH23" s="64" t="str">
        <f t="shared" si="6"/>
        <v/>
      </c>
      <c r="AI23" s="63" t="str">
        <f t="shared" si="7"/>
        <v/>
      </c>
      <c r="AJ23" s="70" t="str">
        <f t="shared" si="8"/>
        <v/>
      </c>
      <c r="AK23" s="1"/>
      <c r="AL23" s="1"/>
      <c r="AM23" s="1"/>
      <c r="AN23" s="1" t="s">
        <v>30</v>
      </c>
    </row>
    <row r="24" spans="1:40" ht="20.100000000000001" customHeight="1" x14ac:dyDescent="0.3">
      <c r="A24" s="27">
        <v>17</v>
      </c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92"/>
      <c r="M24" s="39"/>
      <c r="N24" s="40"/>
      <c r="O24" s="40"/>
      <c r="P24" s="40"/>
      <c r="Q24" s="40"/>
      <c r="R24" s="92"/>
      <c r="S24" s="39"/>
      <c r="T24" s="40"/>
      <c r="U24" s="40"/>
      <c r="V24" s="40"/>
      <c r="W24" s="40"/>
      <c r="X24" s="92"/>
      <c r="Y24" s="39"/>
      <c r="Z24" s="40"/>
      <c r="AA24" s="92"/>
      <c r="AB24" s="62">
        <f t="shared" si="0"/>
        <v>0</v>
      </c>
      <c r="AC24" s="62">
        <f t="shared" si="1"/>
        <v>0</v>
      </c>
      <c r="AD24" s="68">
        <f t="shared" si="2"/>
        <v>0</v>
      </c>
      <c r="AE24" s="62">
        <f t="shared" si="3"/>
        <v>0</v>
      </c>
      <c r="AF24" s="65" t="str">
        <f t="shared" si="4"/>
        <v/>
      </c>
      <c r="AG24" s="63" t="str">
        <f t="shared" si="5"/>
        <v/>
      </c>
      <c r="AH24" s="64" t="str">
        <f t="shared" si="6"/>
        <v/>
      </c>
      <c r="AI24" s="63" t="str">
        <f t="shared" si="7"/>
        <v/>
      </c>
      <c r="AJ24" s="70" t="str">
        <f t="shared" si="8"/>
        <v/>
      </c>
      <c r="AK24" s="1"/>
      <c r="AL24" s="1"/>
      <c r="AM24" s="1"/>
      <c r="AN24" s="1"/>
    </row>
    <row r="25" spans="1:40" ht="20.100000000000001" customHeight="1" x14ac:dyDescent="0.3">
      <c r="A25" s="33">
        <v>18</v>
      </c>
      <c r="B25" s="34"/>
      <c r="C25" s="35"/>
      <c r="D25" s="36"/>
      <c r="E25" s="36"/>
      <c r="F25" s="36"/>
      <c r="G25" s="36"/>
      <c r="H25" s="36"/>
      <c r="I25" s="36"/>
      <c r="J25" s="36"/>
      <c r="K25" s="36"/>
      <c r="L25" s="91"/>
      <c r="M25" s="35"/>
      <c r="N25" s="36"/>
      <c r="O25" s="36"/>
      <c r="P25" s="36"/>
      <c r="Q25" s="36"/>
      <c r="R25" s="91"/>
      <c r="S25" s="35"/>
      <c r="T25" s="36"/>
      <c r="U25" s="36"/>
      <c r="V25" s="36"/>
      <c r="W25" s="36"/>
      <c r="X25" s="91"/>
      <c r="Y25" s="35"/>
      <c r="Z25" s="36"/>
      <c r="AA25" s="91"/>
      <c r="AB25" s="66">
        <f t="shared" si="0"/>
        <v>0</v>
      </c>
      <c r="AC25" s="66">
        <f t="shared" si="1"/>
        <v>0</v>
      </c>
      <c r="AD25" s="67">
        <f t="shared" si="2"/>
        <v>0</v>
      </c>
      <c r="AE25" s="66">
        <f t="shared" si="3"/>
        <v>0</v>
      </c>
      <c r="AF25" s="65" t="str">
        <f t="shared" si="4"/>
        <v/>
      </c>
      <c r="AG25" s="63" t="str">
        <f t="shared" si="5"/>
        <v/>
      </c>
      <c r="AH25" s="64" t="str">
        <f t="shared" si="6"/>
        <v/>
      </c>
      <c r="AI25" s="63" t="str">
        <f t="shared" si="7"/>
        <v/>
      </c>
      <c r="AJ25" s="70" t="str">
        <f t="shared" si="8"/>
        <v/>
      </c>
      <c r="AK25" s="1"/>
      <c r="AL25" s="1"/>
      <c r="AM25" s="1"/>
      <c r="AN25" s="1"/>
    </row>
    <row r="26" spans="1:40" ht="20.100000000000001" customHeight="1" x14ac:dyDescent="0.3">
      <c r="A26" s="27">
        <v>19</v>
      </c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92"/>
      <c r="M26" s="39"/>
      <c r="N26" s="40"/>
      <c r="O26" s="40"/>
      <c r="P26" s="40"/>
      <c r="Q26" s="40"/>
      <c r="R26" s="92"/>
      <c r="S26" s="39"/>
      <c r="T26" s="40"/>
      <c r="U26" s="40"/>
      <c r="V26" s="40"/>
      <c r="W26" s="40"/>
      <c r="X26" s="92"/>
      <c r="Y26" s="39"/>
      <c r="Z26" s="40"/>
      <c r="AA26" s="92"/>
      <c r="AB26" s="62">
        <f t="shared" si="0"/>
        <v>0</v>
      </c>
      <c r="AC26" s="62">
        <f t="shared" si="1"/>
        <v>0</v>
      </c>
      <c r="AD26" s="68">
        <f t="shared" si="2"/>
        <v>0</v>
      </c>
      <c r="AE26" s="62">
        <f t="shared" si="3"/>
        <v>0</v>
      </c>
      <c r="AF26" s="65" t="str">
        <f t="shared" si="4"/>
        <v/>
      </c>
      <c r="AG26" s="63" t="str">
        <f t="shared" si="5"/>
        <v/>
      </c>
      <c r="AH26" s="64" t="str">
        <f t="shared" si="6"/>
        <v/>
      </c>
      <c r="AI26" s="63" t="str">
        <f t="shared" si="7"/>
        <v/>
      </c>
      <c r="AJ26" s="70" t="str">
        <f t="shared" si="8"/>
        <v/>
      </c>
      <c r="AK26" s="1"/>
      <c r="AL26" s="1"/>
      <c r="AM26" s="1"/>
      <c r="AN26" s="1"/>
    </row>
    <row r="27" spans="1:40" ht="20.100000000000001" customHeight="1" x14ac:dyDescent="0.3">
      <c r="A27" s="33">
        <v>20</v>
      </c>
      <c r="B27" s="34"/>
      <c r="C27" s="35"/>
      <c r="D27" s="36"/>
      <c r="E27" s="36"/>
      <c r="F27" s="36"/>
      <c r="G27" s="36"/>
      <c r="H27" s="36"/>
      <c r="I27" s="36"/>
      <c r="J27" s="36"/>
      <c r="K27" s="36"/>
      <c r="L27" s="91"/>
      <c r="M27" s="35"/>
      <c r="N27" s="36"/>
      <c r="O27" s="36"/>
      <c r="P27" s="36"/>
      <c r="Q27" s="36"/>
      <c r="R27" s="91"/>
      <c r="S27" s="35"/>
      <c r="T27" s="36"/>
      <c r="U27" s="36"/>
      <c r="V27" s="36"/>
      <c r="W27" s="36"/>
      <c r="X27" s="91"/>
      <c r="Y27" s="35"/>
      <c r="Z27" s="36"/>
      <c r="AA27" s="91"/>
      <c r="AB27" s="66">
        <f t="shared" si="0"/>
        <v>0</v>
      </c>
      <c r="AC27" s="66">
        <f t="shared" si="1"/>
        <v>0</v>
      </c>
      <c r="AD27" s="67">
        <f t="shared" si="2"/>
        <v>0</v>
      </c>
      <c r="AE27" s="66">
        <f t="shared" si="3"/>
        <v>0</v>
      </c>
      <c r="AF27" s="65" t="str">
        <f t="shared" si="4"/>
        <v/>
      </c>
      <c r="AG27" s="63" t="str">
        <f t="shared" si="5"/>
        <v/>
      </c>
      <c r="AH27" s="64" t="str">
        <f t="shared" si="6"/>
        <v/>
      </c>
      <c r="AI27" s="63" t="str">
        <f t="shared" si="7"/>
        <v/>
      </c>
      <c r="AJ27" s="70" t="str">
        <f t="shared" si="8"/>
        <v/>
      </c>
      <c r="AK27" s="1"/>
      <c r="AL27" s="1"/>
      <c r="AM27" s="1"/>
      <c r="AN27" s="1"/>
    </row>
    <row r="28" spans="1:40" ht="20.100000000000001" customHeight="1" x14ac:dyDescent="0.3">
      <c r="A28" s="27">
        <v>21</v>
      </c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92"/>
      <c r="M28" s="39"/>
      <c r="N28" s="40"/>
      <c r="O28" s="40"/>
      <c r="P28" s="40"/>
      <c r="Q28" s="40"/>
      <c r="R28" s="92"/>
      <c r="S28" s="39"/>
      <c r="T28" s="40"/>
      <c r="U28" s="40"/>
      <c r="V28" s="40"/>
      <c r="W28" s="40"/>
      <c r="X28" s="92"/>
      <c r="Y28" s="39"/>
      <c r="Z28" s="40"/>
      <c r="AA28" s="92"/>
      <c r="AB28" s="62">
        <f t="shared" si="0"/>
        <v>0</v>
      </c>
      <c r="AC28" s="62">
        <f t="shared" si="1"/>
        <v>0</v>
      </c>
      <c r="AD28" s="68">
        <f t="shared" si="2"/>
        <v>0</v>
      </c>
      <c r="AE28" s="62">
        <f t="shared" si="3"/>
        <v>0</v>
      </c>
      <c r="AF28" s="65" t="str">
        <f t="shared" si="4"/>
        <v/>
      </c>
      <c r="AG28" s="63" t="str">
        <f t="shared" si="5"/>
        <v/>
      </c>
      <c r="AH28" s="64" t="str">
        <f t="shared" si="6"/>
        <v/>
      </c>
      <c r="AI28" s="63" t="str">
        <f t="shared" si="7"/>
        <v/>
      </c>
      <c r="AJ28" s="70" t="str">
        <f t="shared" si="8"/>
        <v/>
      </c>
      <c r="AK28" s="1"/>
      <c r="AL28" s="1"/>
      <c r="AM28" s="1"/>
      <c r="AN28" s="1"/>
    </row>
    <row r="29" spans="1:40" ht="20.100000000000001" customHeight="1" x14ac:dyDescent="0.3">
      <c r="A29" s="33">
        <v>22</v>
      </c>
      <c r="B29" s="34"/>
      <c r="C29" s="35"/>
      <c r="D29" s="36"/>
      <c r="E29" s="36"/>
      <c r="F29" s="36"/>
      <c r="G29" s="36"/>
      <c r="H29" s="36"/>
      <c r="I29" s="36"/>
      <c r="J29" s="36"/>
      <c r="K29" s="36"/>
      <c r="L29" s="91"/>
      <c r="M29" s="35"/>
      <c r="N29" s="36"/>
      <c r="O29" s="36"/>
      <c r="P29" s="36"/>
      <c r="Q29" s="36"/>
      <c r="R29" s="91"/>
      <c r="S29" s="35"/>
      <c r="T29" s="36"/>
      <c r="U29" s="36"/>
      <c r="V29" s="36"/>
      <c r="W29" s="36"/>
      <c r="X29" s="91"/>
      <c r="Y29" s="35"/>
      <c r="Z29" s="36"/>
      <c r="AA29" s="91"/>
      <c r="AB29" s="66">
        <f t="shared" si="0"/>
        <v>0</v>
      </c>
      <c r="AC29" s="66">
        <f t="shared" si="1"/>
        <v>0</v>
      </c>
      <c r="AD29" s="67">
        <f t="shared" si="2"/>
        <v>0</v>
      </c>
      <c r="AE29" s="66">
        <f t="shared" si="3"/>
        <v>0</v>
      </c>
      <c r="AF29" s="65" t="str">
        <f t="shared" si="4"/>
        <v/>
      </c>
      <c r="AG29" s="63" t="str">
        <f t="shared" si="5"/>
        <v/>
      </c>
      <c r="AH29" s="64" t="str">
        <f t="shared" si="6"/>
        <v/>
      </c>
      <c r="AI29" s="63" t="str">
        <f t="shared" si="7"/>
        <v/>
      </c>
      <c r="AJ29" s="70" t="str">
        <f t="shared" si="8"/>
        <v/>
      </c>
      <c r="AK29" s="1"/>
      <c r="AL29" s="1"/>
      <c r="AM29" s="1"/>
      <c r="AN29" s="1"/>
    </row>
    <row r="30" spans="1:40" ht="20.100000000000001" customHeight="1" x14ac:dyDescent="0.3">
      <c r="A30" s="27">
        <v>23</v>
      </c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92"/>
      <c r="M30" s="39"/>
      <c r="N30" s="40"/>
      <c r="O30" s="40"/>
      <c r="P30" s="40"/>
      <c r="Q30" s="40"/>
      <c r="R30" s="92"/>
      <c r="S30" s="39"/>
      <c r="T30" s="40"/>
      <c r="U30" s="40"/>
      <c r="V30" s="40"/>
      <c r="W30" s="40"/>
      <c r="X30" s="92"/>
      <c r="Y30" s="39"/>
      <c r="Z30" s="40"/>
      <c r="AA30" s="92"/>
      <c r="AB30" s="62">
        <f t="shared" si="0"/>
        <v>0</v>
      </c>
      <c r="AC30" s="62">
        <f t="shared" si="1"/>
        <v>0</v>
      </c>
      <c r="AD30" s="68">
        <f t="shared" si="2"/>
        <v>0</v>
      </c>
      <c r="AE30" s="62">
        <f t="shared" si="3"/>
        <v>0</v>
      </c>
      <c r="AF30" s="65" t="str">
        <f t="shared" si="4"/>
        <v/>
      </c>
      <c r="AG30" s="63" t="str">
        <f t="shared" si="5"/>
        <v/>
      </c>
      <c r="AH30" s="64" t="str">
        <f t="shared" si="6"/>
        <v/>
      </c>
      <c r="AI30" s="63" t="str">
        <f t="shared" si="7"/>
        <v/>
      </c>
      <c r="AJ30" s="70" t="str">
        <f t="shared" si="8"/>
        <v/>
      </c>
      <c r="AK30" s="1"/>
      <c r="AL30" s="1"/>
      <c r="AM30" s="1"/>
      <c r="AN30" s="1"/>
    </row>
    <row r="31" spans="1:40" ht="20.100000000000001" customHeight="1" x14ac:dyDescent="0.3">
      <c r="A31" s="33">
        <v>24</v>
      </c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91"/>
      <c r="M31" s="35"/>
      <c r="N31" s="36"/>
      <c r="O31" s="36"/>
      <c r="P31" s="36"/>
      <c r="Q31" s="36"/>
      <c r="R31" s="91"/>
      <c r="S31" s="35"/>
      <c r="T31" s="36"/>
      <c r="U31" s="36"/>
      <c r="V31" s="36"/>
      <c r="W31" s="36"/>
      <c r="X31" s="91"/>
      <c r="Y31" s="35"/>
      <c r="Z31" s="36"/>
      <c r="AA31" s="91"/>
      <c r="AB31" s="66">
        <f t="shared" si="0"/>
        <v>0</v>
      </c>
      <c r="AC31" s="66">
        <f t="shared" si="1"/>
        <v>0</v>
      </c>
      <c r="AD31" s="67">
        <f t="shared" si="2"/>
        <v>0</v>
      </c>
      <c r="AE31" s="66">
        <f t="shared" si="3"/>
        <v>0</v>
      </c>
      <c r="AF31" s="65" t="str">
        <f t="shared" si="4"/>
        <v/>
      </c>
      <c r="AG31" s="63" t="str">
        <f t="shared" si="5"/>
        <v/>
      </c>
      <c r="AH31" s="64" t="str">
        <f t="shared" si="6"/>
        <v/>
      </c>
      <c r="AI31" s="63" t="str">
        <f t="shared" si="7"/>
        <v/>
      </c>
      <c r="AJ31" s="70" t="str">
        <f t="shared" si="8"/>
        <v/>
      </c>
      <c r="AK31" s="1"/>
      <c r="AL31" s="1"/>
      <c r="AM31" s="1"/>
      <c r="AN31" s="1"/>
    </row>
    <row r="32" spans="1:40" ht="20.100000000000001" customHeight="1" x14ac:dyDescent="0.3">
      <c r="A32" s="27">
        <v>25</v>
      </c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92"/>
      <c r="M32" s="39"/>
      <c r="N32" s="40"/>
      <c r="O32" s="40"/>
      <c r="P32" s="40"/>
      <c r="Q32" s="40"/>
      <c r="R32" s="92"/>
      <c r="S32" s="39"/>
      <c r="T32" s="40"/>
      <c r="U32" s="40"/>
      <c r="V32" s="40"/>
      <c r="W32" s="40"/>
      <c r="X32" s="92"/>
      <c r="Y32" s="39"/>
      <c r="Z32" s="40"/>
      <c r="AA32" s="92"/>
      <c r="AB32" s="62">
        <f t="shared" si="0"/>
        <v>0</v>
      </c>
      <c r="AC32" s="62">
        <f t="shared" si="1"/>
        <v>0</v>
      </c>
      <c r="AD32" s="68">
        <f t="shared" si="2"/>
        <v>0</v>
      </c>
      <c r="AE32" s="62">
        <f t="shared" si="3"/>
        <v>0</v>
      </c>
      <c r="AF32" s="65" t="str">
        <f t="shared" si="4"/>
        <v/>
      </c>
      <c r="AG32" s="63" t="str">
        <f t="shared" si="5"/>
        <v/>
      </c>
      <c r="AH32" s="64" t="str">
        <f t="shared" si="6"/>
        <v/>
      </c>
      <c r="AI32" s="63" t="str">
        <f t="shared" si="7"/>
        <v/>
      </c>
      <c r="AJ32" s="70" t="str">
        <f t="shared" si="8"/>
        <v/>
      </c>
      <c r="AK32" s="1"/>
      <c r="AL32" s="1"/>
      <c r="AM32" s="1"/>
      <c r="AN32" s="1"/>
    </row>
    <row r="33" spans="1:40" ht="20.100000000000001" customHeight="1" x14ac:dyDescent="0.3">
      <c r="A33" s="33">
        <v>26</v>
      </c>
      <c r="B33" s="34"/>
      <c r="C33" s="35"/>
      <c r="D33" s="36"/>
      <c r="E33" s="36"/>
      <c r="F33" s="36"/>
      <c r="G33" s="36"/>
      <c r="H33" s="36"/>
      <c r="I33" s="36"/>
      <c r="J33" s="36"/>
      <c r="K33" s="36"/>
      <c r="L33" s="91"/>
      <c r="M33" s="35"/>
      <c r="N33" s="36"/>
      <c r="O33" s="36"/>
      <c r="P33" s="36"/>
      <c r="Q33" s="36"/>
      <c r="R33" s="91"/>
      <c r="S33" s="35"/>
      <c r="T33" s="36"/>
      <c r="U33" s="36"/>
      <c r="V33" s="36"/>
      <c r="W33" s="36"/>
      <c r="X33" s="91"/>
      <c r="Y33" s="35"/>
      <c r="Z33" s="36"/>
      <c r="AA33" s="91"/>
      <c r="AB33" s="66">
        <f t="shared" si="0"/>
        <v>0</v>
      </c>
      <c r="AC33" s="66">
        <f t="shared" si="1"/>
        <v>0</v>
      </c>
      <c r="AD33" s="67">
        <f t="shared" si="2"/>
        <v>0</v>
      </c>
      <c r="AE33" s="66">
        <f t="shared" si="3"/>
        <v>0</v>
      </c>
      <c r="AF33" s="65" t="str">
        <f t="shared" si="4"/>
        <v/>
      </c>
      <c r="AG33" s="63" t="str">
        <f t="shared" si="5"/>
        <v/>
      </c>
      <c r="AH33" s="64" t="str">
        <f t="shared" si="6"/>
        <v/>
      </c>
      <c r="AI33" s="63" t="str">
        <f t="shared" si="7"/>
        <v/>
      </c>
      <c r="AJ33" s="70" t="str">
        <f t="shared" si="8"/>
        <v/>
      </c>
      <c r="AK33" s="1"/>
      <c r="AL33" s="1"/>
      <c r="AM33" s="1"/>
      <c r="AN33" s="1"/>
    </row>
    <row r="34" spans="1:40" ht="20.100000000000001" customHeight="1" x14ac:dyDescent="0.3">
      <c r="A34" s="27">
        <v>27</v>
      </c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92"/>
      <c r="M34" s="39"/>
      <c r="N34" s="40"/>
      <c r="O34" s="40"/>
      <c r="P34" s="40"/>
      <c r="Q34" s="40"/>
      <c r="R34" s="92"/>
      <c r="S34" s="39"/>
      <c r="T34" s="40"/>
      <c r="U34" s="40"/>
      <c r="V34" s="40"/>
      <c r="W34" s="40"/>
      <c r="X34" s="92"/>
      <c r="Y34" s="39"/>
      <c r="Z34" s="40"/>
      <c r="AA34" s="92"/>
      <c r="AB34" s="62">
        <f t="shared" si="0"/>
        <v>0</v>
      </c>
      <c r="AC34" s="62">
        <f t="shared" si="1"/>
        <v>0</v>
      </c>
      <c r="AD34" s="68">
        <f t="shared" si="2"/>
        <v>0</v>
      </c>
      <c r="AE34" s="62">
        <f t="shared" si="3"/>
        <v>0</v>
      </c>
      <c r="AF34" s="65" t="str">
        <f t="shared" si="4"/>
        <v/>
      </c>
      <c r="AG34" s="63" t="str">
        <f t="shared" si="5"/>
        <v/>
      </c>
      <c r="AH34" s="64" t="str">
        <f t="shared" si="6"/>
        <v/>
      </c>
      <c r="AI34" s="63" t="str">
        <f t="shared" si="7"/>
        <v/>
      </c>
      <c r="AJ34" s="70" t="str">
        <f t="shared" si="8"/>
        <v/>
      </c>
      <c r="AK34" s="1"/>
      <c r="AL34" s="1"/>
      <c r="AM34" s="1"/>
      <c r="AN34" s="1"/>
    </row>
    <row r="35" spans="1:40" ht="20.100000000000001" customHeight="1" x14ac:dyDescent="0.3">
      <c r="A35" s="33">
        <v>28</v>
      </c>
      <c r="B35" s="34"/>
      <c r="C35" s="35"/>
      <c r="D35" s="36"/>
      <c r="E35" s="36"/>
      <c r="F35" s="36"/>
      <c r="G35" s="36"/>
      <c r="H35" s="36"/>
      <c r="I35" s="36"/>
      <c r="J35" s="36"/>
      <c r="K35" s="36"/>
      <c r="L35" s="91"/>
      <c r="M35" s="35"/>
      <c r="N35" s="36"/>
      <c r="O35" s="36"/>
      <c r="P35" s="36"/>
      <c r="Q35" s="36"/>
      <c r="R35" s="91"/>
      <c r="S35" s="35"/>
      <c r="T35" s="36"/>
      <c r="U35" s="36"/>
      <c r="V35" s="36"/>
      <c r="W35" s="36"/>
      <c r="X35" s="91"/>
      <c r="Y35" s="35"/>
      <c r="Z35" s="36"/>
      <c r="AA35" s="91"/>
      <c r="AB35" s="66">
        <f t="shared" si="0"/>
        <v>0</v>
      </c>
      <c r="AC35" s="66">
        <f t="shared" si="1"/>
        <v>0</v>
      </c>
      <c r="AD35" s="67">
        <f t="shared" si="2"/>
        <v>0</v>
      </c>
      <c r="AE35" s="66">
        <f t="shared" si="3"/>
        <v>0</v>
      </c>
      <c r="AF35" s="65" t="str">
        <f t="shared" si="4"/>
        <v/>
      </c>
      <c r="AG35" s="63" t="str">
        <f t="shared" si="5"/>
        <v/>
      </c>
      <c r="AH35" s="64" t="str">
        <f t="shared" si="6"/>
        <v/>
      </c>
      <c r="AI35" s="63" t="str">
        <f t="shared" si="7"/>
        <v/>
      </c>
      <c r="AJ35" s="70" t="str">
        <f t="shared" si="8"/>
        <v/>
      </c>
      <c r="AK35" s="1"/>
      <c r="AL35" s="1"/>
      <c r="AM35" s="1"/>
      <c r="AN35" s="1"/>
    </row>
    <row r="36" spans="1:40" ht="20.100000000000001" customHeight="1" x14ac:dyDescent="0.3">
      <c r="A36" s="27">
        <v>29</v>
      </c>
      <c r="B36" s="38"/>
      <c r="C36" s="39"/>
      <c r="D36" s="40"/>
      <c r="E36" s="40"/>
      <c r="F36" s="40"/>
      <c r="G36" s="40"/>
      <c r="H36" s="40"/>
      <c r="I36" s="40"/>
      <c r="J36" s="40"/>
      <c r="K36" s="40"/>
      <c r="L36" s="92"/>
      <c r="M36" s="39"/>
      <c r="N36" s="40"/>
      <c r="O36" s="40"/>
      <c r="P36" s="40"/>
      <c r="Q36" s="40"/>
      <c r="R36" s="92"/>
      <c r="S36" s="39"/>
      <c r="T36" s="40"/>
      <c r="U36" s="40"/>
      <c r="V36" s="40"/>
      <c r="W36" s="40"/>
      <c r="X36" s="92"/>
      <c r="Y36" s="39"/>
      <c r="Z36" s="40"/>
      <c r="AA36" s="92"/>
      <c r="AB36" s="62">
        <f t="shared" si="0"/>
        <v>0</v>
      </c>
      <c r="AC36" s="62">
        <f t="shared" si="1"/>
        <v>0</v>
      </c>
      <c r="AD36" s="68">
        <f t="shared" si="2"/>
        <v>0</v>
      </c>
      <c r="AE36" s="62">
        <f t="shared" si="3"/>
        <v>0</v>
      </c>
      <c r="AF36" s="65" t="str">
        <f t="shared" si="4"/>
        <v/>
      </c>
      <c r="AG36" s="63" t="str">
        <f t="shared" si="5"/>
        <v/>
      </c>
      <c r="AH36" s="64" t="str">
        <f t="shared" si="6"/>
        <v/>
      </c>
      <c r="AI36" s="63" t="str">
        <f t="shared" si="7"/>
        <v/>
      </c>
      <c r="AJ36" s="70" t="str">
        <f t="shared" si="8"/>
        <v/>
      </c>
      <c r="AK36" s="1"/>
      <c r="AL36" s="1"/>
      <c r="AM36" s="1"/>
      <c r="AN36" s="1"/>
    </row>
    <row r="37" spans="1:40" ht="20.100000000000001" customHeight="1" x14ac:dyDescent="0.3">
      <c r="A37" s="33">
        <v>30</v>
      </c>
      <c r="B37" s="34"/>
      <c r="C37" s="35"/>
      <c r="D37" s="36"/>
      <c r="E37" s="36"/>
      <c r="F37" s="36"/>
      <c r="G37" s="36"/>
      <c r="H37" s="36"/>
      <c r="I37" s="36"/>
      <c r="J37" s="36"/>
      <c r="K37" s="36"/>
      <c r="L37" s="91"/>
      <c r="M37" s="35"/>
      <c r="N37" s="36"/>
      <c r="O37" s="36"/>
      <c r="P37" s="36"/>
      <c r="Q37" s="36"/>
      <c r="R37" s="91"/>
      <c r="S37" s="35"/>
      <c r="T37" s="36"/>
      <c r="U37" s="36"/>
      <c r="V37" s="36"/>
      <c r="W37" s="36"/>
      <c r="X37" s="91"/>
      <c r="Y37" s="35"/>
      <c r="Z37" s="36"/>
      <c r="AA37" s="91"/>
      <c r="AB37" s="66">
        <f t="shared" si="0"/>
        <v>0</v>
      </c>
      <c r="AC37" s="66">
        <f t="shared" si="1"/>
        <v>0</v>
      </c>
      <c r="AD37" s="67">
        <f t="shared" si="2"/>
        <v>0</v>
      </c>
      <c r="AE37" s="66">
        <f t="shared" si="3"/>
        <v>0</v>
      </c>
      <c r="AF37" s="65" t="str">
        <f t="shared" si="4"/>
        <v/>
      </c>
      <c r="AG37" s="63" t="str">
        <f t="shared" si="5"/>
        <v/>
      </c>
      <c r="AH37" s="64" t="str">
        <f t="shared" si="6"/>
        <v/>
      </c>
      <c r="AI37" s="63" t="str">
        <f t="shared" si="7"/>
        <v/>
      </c>
      <c r="AJ37" s="70" t="str">
        <f t="shared" si="8"/>
        <v/>
      </c>
      <c r="AK37" s="1"/>
      <c r="AL37" s="1"/>
      <c r="AM37" s="1"/>
      <c r="AN37" s="1"/>
    </row>
    <row r="38" spans="1:40" ht="20.100000000000001" customHeight="1" x14ac:dyDescent="0.3">
      <c r="A38" s="27">
        <v>31</v>
      </c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92"/>
      <c r="M38" s="39"/>
      <c r="N38" s="40"/>
      <c r="O38" s="40"/>
      <c r="P38" s="40"/>
      <c r="Q38" s="40"/>
      <c r="R38" s="92"/>
      <c r="S38" s="39"/>
      <c r="T38" s="40"/>
      <c r="U38" s="40"/>
      <c r="V38" s="40"/>
      <c r="W38" s="40"/>
      <c r="X38" s="92"/>
      <c r="Y38" s="39"/>
      <c r="Z38" s="40"/>
      <c r="AA38" s="92"/>
      <c r="AB38" s="62">
        <f t="shared" si="0"/>
        <v>0</v>
      </c>
      <c r="AC38" s="62">
        <f t="shared" si="1"/>
        <v>0</v>
      </c>
      <c r="AD38" s="68">
        <f t="shared" si="2"/>
        <v>0</v>
      </c>
      <c r="AE38" s="62">
        <f t="shared" si="3"/>
        <v>0</v>
      </c>
      <c r="AF38" s="65" t="str">
        <f t="shared" si="4"/>
        <v/>
      </c>
      <c r="AG38" s="63" t="str">
        <f t="shared" si="5"/>
        <v/>
      </c>
      <c r="AH38" s="64" t="str">
        <f t="shared" si="6"/>
        <v/>
      </c>
      <c r="AI38" s="63" t="str">
        <f t="shared" si="7"/>
        <v/>
      </c>
      <c r="AJ38" s="70" t="str">
        <f t="shared" si="8"/>
        <v/>
      </c>
      <c r="AK38" s="1"/>
      <c r="AL38" s="1"/>
      <c r="AM38" s="1"/>
      <c r="AN38" s="1"/>
    </row>
    <row r="39" spans="1:40" ht="20.100000000000001" customHeight="1" x14ac:dyDescent="0.3">
      <c r="A39" s="33">
        <v>32</v>
      </c>
      <c r="B39" s="34"/>
      <c r="C39" s="35"/>
      <c r="D39" s="36"/>
      <c r="E39" s="36"/>
      <c r="F39" s="36"/>
      <c r="G39" s="36"/>
      <c r="H39" s="36"/>
      <c r="I39" s="36"/>
      <c r="J39" s="36"/>
      <c r="K39" s="36"/>
      <c r="L39" s="91"/>
      <c r="M39" s="35"/>
      <c r="N39" s="36"/>
      <c r="O39" s="36"/>
      <c r="P39" s="36"/>
      <c r="Q39" s="36"/>
      <c r="R39" s="91"/>
      <c r="S39" s="35"/>
      <c r="T39" s="36"/>
      <c r="U39" s="36"/>
      <c r="V39" s="36"/>
      <c r="W39" s="36"/>
      <c r="X39" s="91"/>
      <c r="Y39" s="35"/>
      <c r="Z39" s="36"/>
      <c r="AA39" s="91"/>
      <c r="AB39" s="66">
        <f t="shared" si="0"/>
        <v>0</v>
      </c>
      <c r="AC39" s="66">
        <f t="shared" si="1"/>
        <v>0</v>
      </c>
      <c r="AD39" s="67">
        <f t="shared" si="2"/>
        <v>0</v>
      </c>
      <c r="AE39" s="66">
        <f t="shared" si="3"/>
        <v>0</v>
      </c>
      <c r="AF39" s="65" t="str">
        <f t="shared" si="4"/>
        <v/>
      </c>
      <c r="AG39" s="63" t="str">
        <f t="shared" si="5"/>
        <v/>
      </c>
      <c r="AH39" s="64" t="str">
        <f t="shared" si="6"/>
        <v/>
      </c>
      <c r="AI39" s="63" t="str">
        <f t="shared" si="7"/>
        <v/>
      </c>
      <c r="AJ39" s="70" t="str">
        <f t="shared" si="8"/>
        <v/>
      </c>
      <c r="AK39" s="1"/>
      <c r="AL39" s="1"/>
      <c r="AM39" s="1"/>
      <c r="AN39" s="1"/>
    </row>
    <row r="40" spans="1:40" ht="20.100000000000001" customHeight="1" x14ac:dyDescent="0.3">
      <c r="A40" s="27">
        <v>33</v>
      </c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92"/>
      <c r="M40" s="39"/>
      <c r="N40" s="40"/>
      <c r="O40" s="40"/>
      <c r="P40" s="40"/>
      <c r="Q40" s="40"/>
      <c r="R40" s="92"/>
      <c r="S40" s="39"/>
      <c r="T40" s="40"/>
      <c r="U40" s="40"/>
      <c r="V40" s="40"/>
      <c r="W40" s="40"/>
      <c r="X40" s="92"/>
      <c r="Y40" s="39"/>
      <c r="Z40" s="40"/>
      <c r="AA40" s="92"/>
      <c r="AB40" s="62">
        <f t="shared" si="0"/>
        <v>0</v>
      </c>
      <c r="AC40" s="62">
        <f t="shared" si="1"/>
        <v>0</v>
      </c>
      <c r="AD40" s="68">
        <f t="shared" si="2"/>
        <v>0</v>
      </c>
      <c r="AE40" s="62">
        <f t="shared" si="3"/>
        <v>0</v>
      </c>
      <c r="AF40" s="65" t="str">
        <f t="shared" si="4"/>
        <v/>
      </c>
      <c r="AG40" s="63" t="str">
        <f t="shared" si="5"/>
        <v/>
      </c>
      <c r="AH40" s="64" t="str">
        <f t="shared" si="6"/>
        <v/>
      </c>
      <c r="AI40" s="63" t="str">
        <f t="shared" si="7"/>
        <v/>
      </c>
      <c r="AJ40" s="70" t="str">
        <f t="shared" si="8"/>
        <v/>
      </c>
      <c r="AK40" s="1"/>
      <c r="AL40" s="1"/>
      <c r="AM40" s="1"/>
      <c r="AN40" s="1"/>
    </row>
    <row r="41" spans="1:40" ht="20.100000000000001" customHeight="1" x14ac:dyDescent="0.3">
      <c r="A41" s="33">
        <v>34</v>
      </c>
      <c r="B41" s="34"/>
      <c r="C41" s="35"/>
      <c r="D41" s="36"/>
      <c r="E41" s="36"/>
      <c r="F41" s="36"/>
      <c r="G41" s="36"/>
      <c r="H41" s="36"/>
      <c r="I41" s="36"/>
      <c r="J41" s="36"/>
      <c r="K41" s="36"/>
      <c r="L41" s="91"/>
      <c r="M41" s="35"/>
      <c r="N41" s="36"/>
      <c r="O41" s="36"/>
      <c r="P41" s="36"/>
      <c r="Q41" s="36"/>
      <c r="R41" s="91"/>
      <c r="S41" s="35"/>
      <c r="T41" s="36"/>
      <c r="U41" s="36"/>
      <c r="V41" s="36"/>
      <c r="W41" s="36"/>
      <c r="X41" s="91"/>
      <c r="Y41" s="35"/>
      <c r="Z41" s="36"/>
      <c r="AA41" s="91"/>
      <c r="AB41" s="66">
        <f t="shared" si="0"/>
        <v>0</v>
      </c>
      <c r="AC41" s="66">
        <f t="shared" si="1"/>
        <v>0</v>
      </c>
      <c r="AD41" s="67">
        <f t="shared" si="2"/>
        <v>0</v>
      </c>
      <c r="AE41" s="66">
        <f t="shared" si="3"/>
        <v>0</v>
      </c>
      <c r="AF41" s="65" t="str">
        <f t="shared" si="4"/>
        <v/>
      </c>
      <c r="AG41" s="63" t="str">
        <f t="shared" si="5"/>
        <v/>
      </c>
      <c r="AH41" s="64" t="str">
        <f t="shared" si="6"/>
        <v/>
      </c>
      <c r="AI41" s="63" t="str">
        <f t="shared" si="7"/>
        <v/>
      </c>
      <c r="AJ41" s="70" t="str">
        <f t="shared" si="8"/>
        <v/>
      </c>
      <c r="AK41" s="1"/>
      <c r="AL41" s="1"/>
      <c r="AM41" s="1"/>
      <c r="AN41" s="1"/>
    </row>
    <row r="42" spans="1:40" ht="20.100000000000001" customHeight="1" x14ac:dyDescent="0.3">
      <c r="A42" s="27">
        <v>35</v>
      </c>
      <c r="B42" s="38"/>
      <c r="C42" s="39"/>
      <c r="D42" s="40"/>
      <c r="E42" s="40"/>
      <c r="F42" s="40"/>
      <c r="G42" s="40"/>
      <c r="H42" s="40"/>
      <c r="I42" s="40"/>
      <c r="J42" s="40"/>
      <c r="K42" s="40"/>
      <c r="L42" s="92"/>
      <c r="M42" s="39"/>
      <c r="N42" s="40"/>
      <c r="O42" s="40"/>
      <c r="P42" s="40"/>
      <c r="Q42" s="40"/>
      <c r="R42" s="92"/>
      <c r="S42" s="39"/>
      <c r="T42" s="40"/>
      <c r="U42" s="40"/>
      <c r="V42" s="40"/>
      <c r="W42" s="40"/>
      <c r="X42" s="92"/>
      <c r="Y42" s="39"/>
      <c r="Z42" s="40"/>
      <c r="AA42" s="92"/>
      <c r="AB42" s="62">
        <f t="shared" si="0"/>
        <v>0</v>
      </c>
      <c r="AC42" s="62">
        <f t="shared" si="1"/>
        <v>0</v>
      </c>
      <c r="AD42" s="68">
        <f t="shared" si="2"/>
        <v>0</v>
      </c>
      <c r="AE42" s="62">
        <f t="shared" si="3"/>
        <v>0</v>
      </c>
      <c r="AF42" s="65" t="str">
        <f t="shared" si="4"/>
        <v/>
      </c>
      <c r="AG42" s="63" t="str">
        <f t="shared" si="5"/>
        <v/>
      </c>
      <c r="AH42" s="64" t="str">
        <f t="shared" si="6"/>
        <v/>
      </c>
      <c r="AI42" s="63" t="str">
        <f t="shared" si="7"/>
        <v/>
      </c>
      <c r="AJ42" s="70" t="str">
        <f t="shared" si="8"/>
        <v/>
      </c>
      <c r="AK42" s="1"/>
      <c r="AL42" s="1"/>
      <c r="AM42" s="1"/>
      <c r="AN42" s="1"/>
    </row>
    <row r="43" spans="1:40" ht="20.100000000000001" customHeight="1" x14ac:dyDescent="0.3">
      <c r="A43" s="33">
        <v>36</v>
      </c>
      <c r="B43" s="34"/>
      <c r="C43" s="35"/>
      <c r="D43" s="36"/>
      <c r="E43" s="36"/>
      <c r="F43" s="36"/>
      <c r="G43" s="36"/>
      <c r="H43" s="36"/>
      <c r="I43" s="36"/>
      <c r="J43" s="36"/>
      <c r="K43" s="36"/>
      <c r="L43" s="91"/>
      <c r="M43" s="35"/>
      <c r="N43" s="36"/>
      <c r="O43" s="36"/>
      <c r="P43" s="36"/>
      <c r="Q43" s="36"/>
      <c r="R43" s="91"/>
      <c r="S43" s="35"/>
      <c r="T43" s="36"/>
      <c r="U43" s="36"/>
      <c r="V43" s="36"/>
      <c r="W43" s="36"/>
      <c r="X43" s="91"/>
      <c r="Y43" s="35"/>
      <c r="Z43" s="36"/>
      <c r="AA43" s="91"/>
      <c r="AB43" s="66">
        <f t="shared" si="0"/>
        <v>0</v>
      </c>
      <c r="AC43" s="66">
        <f t="shared" si="1"/>
        <v>0</v>
      </c>
      <c r="AD43" s="67">
        <f t="shared" si="2"/>
        <v>0</v>
      </c>
      <c r="AE43" s="66">
        <f t="shared" si="3"/>
        <v>0</v>
      </c>
      <c r="AF43" s="65" t="str">
        <f t="shared" si="4"/>
        <v/>
      </c>
      <c r="AG43" s="63" t="str">
        <f t="shared" si="5"/>
        <v/>
      </c>
      <c r="AH43" s="64" t="str">
        <f t="shared" si="6"/>
        <v/>
      </c>
      <c r="AI43" s="63" t="str">
        <f t="shared" si="7"/>
        <v/>
      </c>
      <c r="AJ43" s="70" t="str">
        <f t="shared" si="8"/>
        <v/>
      </c>
      <c r="AK43" s="1"/>
      <c r="AL43" s="1"/>
      <c r="AM43" s="1"/>
      <c r="AN43" s="1"/>
    </row>
    <row r="44" spans="1:40" ht="20.100000000000001" customHeight="1" x14ac:dyDescent="0.3">
      <c r="A44" s="27">
        <v>37</v>
      </c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92"/>
      <c r="M44" s="39"/>
      <c r="N44" s="40"/>
      <c r="O44" s="40"/>
      <c r="P44" s="40"/>
      <c r="Q44" s="40"/>
      <c r="R44" s="92"/>
      <c r="S44" s="39"/>
      <c r="T44" s="40"/>
      <c r="U44" s="40"/>
      <c r="V44" s="40"/>
      <c r="W44" s="40"/>
      <c r="X44" s="92"/>
      <c r="Y44" s="39"/>
      <c r="Z44" s="40"/>
      <c r="AA44" s="92"/>
      <c r="AB44" s="62">
        <f t="shared" si="0"/>
        <v>0</v>
      </c>
      <c r="AC44" s="62">
        <f t="shared" si="1"/>
        <v>0</v>
      </c>
      <c r="AD44" s="68">
        <f t="shared" si="2"/>
        <v>0</v>
      </c>
      <c r="AE44" s="62">
        <f t="shared" si="3"/>
        <v>0</v>
      </c>
      <c r="AF44" s="65" t="str">
        <f t="shared" si="4"/>
        <v/>
      </c>
      <c r="AG44" s="63" t="str">
        <f t="shared" si="5"/>
        <v/>
      </c>
      <c r="AH44" s="64" t="str">
        <f t="shared" si="6"/>
        <v/>
      </c>
      <c r="AI44" s="63" t="str">
        <f t="shared" si="7"/>
        <v/>
      </c>
      <c r="AJ44" s="70" t="str">
        <f t="shared" si="8"/>
        <v/>
      </c>
      <c r="AK44" s="1"/>
      <c r="AL44" s="1"/>
      <c r="AM44" s="1"/>
      <c r="AN44" s="1"/>
    </row>
    <row r="45" spans="1:40" ht="20.100000000000001" customHeight="1" x14ac:dyDescent="0.3">
      <c r="A45" s="33">
        <v>38</v>
      </c>
      <c r="B45" s="34"/>
      <c r="C45" s="35"/>
      <c r="D45" s="36"/>
      <c r="E45" s="36"/>
      <c r="F45" s="36"/>
      <c r="G45" s="36"/>
      <c r="H45" s="36"/>
      <c r="I45" s="36"/>
      <c r="J45" s="36"/>
      <c r="K45" s="36"/>
      <c r="L45" s="91"/>
      <c r="M45" s="35"/>
      <c r="N45" s="36"/>
      <c r="O45" s="36"/>
      <c r="P45" s="36"/>
      <c r="Q45" s="36"/>
      <c r="R45" s="91"/>
      <c r="S45" s="35"/>
      <c r="T45" s="36"/>
      <c r="U45" s="36"/>
      <c r="V45" s="36"/>
      <c r="W45" s="36"/>
      <c r="X45" s="91"/>
      <c r="Y45" s="35"/>
      <c r="Z45" s="36"/>
      <c r="AA45" s="91"/>
      <c r="AB45" s="66">
        <f t="shared" si="0"/>
        <v>0</v>
      </c>
      <c r="AC45" s="66">
        <f t="shared" si="1"/>
        <v>0</v>
      </c>
      <c r="AD45" s="67">
        <f t="shared" si="2"/>
        <v>0</v>
      </c>
      <c r="AE45" s="66">
        <f t="shared" si="3"/>
        <v>0</v>
      </c>
      <c r="AF45" s="65" t="str">
        <f t="shared" si="4"/>
        <v/>
      </c>
      <c r="AG45" s="63" t="str">
        <f t="shared" si="5"/>
        <v/>
      </c>
      <c r="AH45" s="64" t="str">
        <f t="shared" si="6"/>
        <v/>
      </c>
      <c r="AI45" s="63" t="str">
        <f t="shared" si="7"/>
        <v/>
      </c>
      <c r="AJ45" s="70" t="str">
        <f t="shared" si="8"/>
        <v/>
      </c>
      <c r="AK45" s="1"/>
      <c r="AL45" s="1"/>
      <c r="AM45" s="1"/>
      <c r="AN45" s="1"/>
    </row>
    <row r="46" spans="1:40" ht="20.100000000000001" customHeight="1" x14ac:dyDescent="0.3">
      <c r="A46" s="27">
        <v>39</v>
      </c>
      <c r="B46" s="38"/>
      <c r="C46" s="39"/>
      <c r="D46" s="40"/>
      <c r="E46" s="40"/>
      <c r="F46" s="40"/>
      <c r="G46" s="40"/>
      <c r="H46" s="40"/>
      <c r="I46" s="40"/>
      <c r="J46" s="40"/>
      <c r="K46" s="40"/>
      <c r="L46" s="92"/>
      <c r="M46" s="39"/>
      <c r="N46" s="40"/>
      <c r="O46" s="40"/>
      <c r="P46" s="40"/>
      <c r="Q46" s="40"/>
      <c r="R46" s="92"/>
      <c r="S46" s="39"/>
      <c r="T46" s="40"/>
      <c r="U46" s="40"/>
      <c r="V46" s="40"/>
      <c r="W46" s="40"/>
      <c r="X46" s="92"/>
      <c r="Y46" s="39"/>
      <c r="Z46" s="40"/>
      <c r="AA46" s="92"/>
      <c r="AB46" s="62">
        <f t="shared" si="0"/>
        <v>0</v>
      </c>
      <c r="AC46" s="62">
        <f t="shared" si="1"/>
        <v>0</v>
      </c>
      <c r="AD46" s="68">
        <f t="shared" si="2"/>
        <v>0</v>
      </c>
      <c r="AE46" s="62">
        <f t="shared" si="3"/>
        <v>0</v>
      </c>
      <c r="AF46" s="65" t="str">
        <f t="shared" si="4"/>
        <v/>
      </c>
      <c r="AG46" s="63" t="str">
        <f t="shared" si="5"/>
        <v/>
      </c>
      <c r="AH46" s="64" t="str">
        <f t="shared" si="6"/>
        <v/>
      </c>
      <c r="AI46" s="63" t="str">
        <f t="shared" si="7"/>
        <v/>
      </c>
      <c r="AJ46" s="70" t="str">
        <f t="shared" si="8"/>
        <v/>
      </c>
      <c r="AK46" s="1"/>
      <c r="AL46" s="1"/>
      <c r="AM46" s="1"/>
      <c r="AN46" s="1"/>
    </row>
    <row r="47" spans="1:40" ht="20.100000000000001" customHeight="1" thickBot="1" x14ac:dyDescent="0.35">
      <c r="A47" s="42">
        <v>40</v>
      </c>
      <c r="B47" s="43"/>
      <c r="C47" s="47"/>
      <c r="D47" s="48"/>
      <c r="E47" s="48"/>
      <c r="F47" s="48"/>
      <c r="G47" s="48"/>
      <c r="H47" s="48"/>
      <c r="I47" s="48"/>
      <c r="J47" s="48"/>
      <c r="K47" s="48"/>
      <c r="L47" s="93"/>
      <c r="M47" s="47"/>
      <c r="N47" s="48"/>
      <c r="O47" s="48"/>
      <c r="P47" s="48"/>
      <c r="Q47" s="48"/>
      <c r="R47" s="93"/>
      <c r="S47" s="47"/>
      <c r="T47" s="48"/>
      <c r="U47" s="48"/>
      <c r="V47" s="48"/>
      <c r="W47" s="48"/>
      <c r="X47" s="93"/>
      <c r="Y47" s="47"/>
      <c r="Z47" s="48"/>
      <c r="AA47" s="93"/>
      <c r="AB47" s="71">
        <f t="shared" si="0"/>
        <v>0</v>
      </c>
      <c r="AC47" s="71">
        <f t="shared" si="1"/>
        <v>0</v>
      </c>
      <c r="AD47" s="72">
        <f t="shared" si="2"/>
        <v>0</v>
      </c>
      <c r="AE47" s="71">
        <f t="shared" si="3"/>
        <v>0</v>
      </c>
      <c r="AF47" s="65" t="str">
        <f t="shared" si="4"/>
        <v/>
      </c>
      <c r="AG47" s="63" t="str">
        <f t="shared" si="5"/>
        <v/>
      </c>
      <c r="AH47" s="64" t="str">
        <f t="shared" si="6"/>
        <v/>
      </c>
      <c r="AI47" s="63" t="str">
        <f t="shared" si="7"/>
        <v/>
      </c>
      <c r="AJ47" s="70" t="str">
        <f t="shared" si="8"/>
        <v/>
      </c>
      <c r="AK47" s="1"/>
      <c r="AL47" s="1"/>
      <c r="AM47" s="1"/>
      <c r="AN47" s="1"/>
    </row>
    <row r="48" spans="1:40" ht="27" customHeight="1" thickBot="1" x14ac:dyDescent="0.35">
      <c r="A48" s="191" t="s">
        <v>31</v>
      </c>
      <c r="B48" s="192"/>
      <c r="C48" s="49" t="s">
        <v>10</v>
      </c>
      <c r="D48" s="49" t="s">
        <v>11</v>
      </c>
      <c r="E48" s="49" t="s">
        <v>12</v>
      </c>
      <c r="F48" s="49" t="s">
        <v>13</v>
      </c>
      <c r="G48" s="49" t="s">
        <v>14</v>
      </c>
      <c r="H48" s="49" t="s">
        <v>15</v>
      </c>
      <c r="I48" s="49" t="s">
        <v>16</v>
      </c>
      <c r="J48" s="49" t="s">
        <v>17</v>
      </c>
      <c r="K48" s="49" t="s">
        <v>18</v>
      </c>
      <c r="L48" s="49" t="s">
        <v>19</v>
      </c>
      <c r="M48" s="49" t="s">
        <v>20</v>
      </c>
      <c r="N48" s="49" t="s">
        <v>21</v>
      </c>
      <c r="O48" s="49" t="s">
        <v>22</v>
      </c>
      <c r="P48" s="49" t="s">
        <v>23</v>
      </c>
      <c r="Q48" s="49" t="s">
        <v>24</v>
      </c>
      <c r="R48" s="49" t="s">
        <v>25</v>
      </c>
      <c r="S48" s="49" t="s">
        <v>26</v>
      </c>
      <c r="T48" s="49" t="s">
        <v>27</v>
      </c>
      <c r="U48" s="49" t="s">
        <v>28</v>
      </c>
      <c r="V48" s="49" t="s">
        <v>29</v>
      </c>
      <c r="W48" s="49" t="s">
        <v>53</v>
      </c>
      <c r="X48" s="49" t="s">
        <v>54</v>
      </c>
      <c r="Y48" s="49" t="s">
        <v>55</v>
      </c>
      <c r="Z48" s="49" t="s">
        <v>56</v>
      </c>
      <c r="AA48" s="49" t="s">
        <v>67</v>
      </c>
      <c r="AB48" s="15"/>
      <c r="AC48" s="15"/>
      <c r="AD48" s="193" t="s">
        <v>32</v>
      </c>
      <c r="AE48" s="194"/>
      <c r="AF48" s="194"/>
      <c r="AG48" s="194"/>
      <c r="AH48" s="194"/>
      <c r="AI48" s="194"/>
      <c r="AJ48" s="195"/>
      <c r="AK48" s="1"/>
      <c r="AL48" s="1"/>
      <c r="AM48" s="1"/>
      <c r="AN48" s="1"/>
    </row>
    <row r="49" spans="1:40" ht="27" customHeight="1" x14ac:dyDescent="0.3">
      <c r="A49" s="156" t="s">
        <v>6</v>
      </c>
      <c r="B49" s="157"/>
      <c r="C49" s="74">
        <f t="shared" ref="C49" si="9">COUNTIF(C8:C47,3)/COUNTA(C8:C47)*1</f>
        <v>1</v>
      </c>
      <c r="D49" s="74">
        <f t="shared" ref="D49:AA49" si="10">COUNTIF(D8:D47,3)/COUNTA(D8:D47)*1</f>
        <v>1</v>
      </c>
      <c r="E49" s="74">
        <f t="shared" si="10"/>
        <v>1</v>
      </c>
      <c r="F49" s="74">
        <f t="shared" si="10"/>
        <v>1</v>
      </c>
      <c r="G49" s="74">
        <f t="shared" si="10"/>
        <v>1</v>
      </c>
      <c r="H49" s="74">
        <f t="shared" si="10"/>
        <v>1</v>
      </c>
      <c r="I49" s="74">
        <f t="shared" si="10"/>
        <v>1</v>
      </c>
      <c r="J49" s="74">
        <f t="shared" si="10"/>
        <v>1</v>
      </c>
      <c r="K49" s="74">
        <f t="shared" si="10"/>
        <v>1</v>
      </c>
      <c r="L49" s="74">
        <f t="shared" si="10"/>
        <v>1</v>
      </c>
      <c r="M49" s="74">
        <f t="shared" si="10"/>
        <v>1</v>
      </c>
      <c r="N49" s="74">
        <f t="shared" si="10"/>
        <v>1</v>
      </c>
      <c r="O49" s="74">
        <f t="shared" si="10"/>
        <v>1</v>
      </c>
      <c r="P49" s="74">
        <f t="shared" si="10"/>
        <v>0</v>
      </c>
      <c r="Q49" s="74">
        <f t="shared" si="10"/>
        <v>1</v>
      </c>
      <c r="R49" s="74">
        <f t="shared" si="10"/>
        <v>1</v>
      </c>
      <c r="S49" s="74">
        <f t="shared" si="10"/>
        <v>1</v>
      </c>
      <c r="T49" s="74">
        <f t="shared" si="10"/>
        <v>0.75</v>
      </c>
      <c r="U49" s="74">
        <f t="shared" si="10"/>
        <v>0.5</v>
      </c>
      <c r="V49" s="74">
        <f t="shared" si="10"/>
        <v>0.66666666666666663</v>
      </c>
      <c r="W49" s="74">
        <f t="shared" si="10"/>
        <v>1</v>
      </c>
      <c r="X49" s="74">
        <f t="shared" si="10"/>
        <v>1</v>
      </c>
      <c r="Y49" s="74">
        <f t="shared" si="10"/>
        <v>0.5</v>
      </c>
      <c r="Z49" s="74">
        <f t="shared" si="10"/>
        <v>0.5</v>
      </c>
      <c r="AA49" s="74">
        <f t="shared" si="10"/>
        <v>0.5</v>
      </c>
      <c r="AB49" s="15"/>
      <c r="AC49" s="15"/>
      <c r="AD49" s="158" t="s">
        <v>2</v>
      </c>
      <c r="AE49" s="159"/>
      <c r="AF49" s="164" t="s">
        <v>50</v>
      </c>
      <c r="AG49" s="222" t="s">
        <v>58</v>
      </c>
      <c r="AH49" s="164" t="s">
        <v>64</v>
      </c>
      <c r="AI49" s="222" t="s">
        <v>66</v>
      </c>
      <c r="AJ49" s="167" t="s">
        <v>33</v>
      </c>
      <c r="AK49" s="147"/>
      <c r="AL49" s="3"/>
      <c r="AM49" s="1"/>
      <c r="AN49" s="1"/>
    </row>
    <row r="50" spans="1:40" ht="27" customHeight="1" x14ac:dyDescent="0.3">
      <c r="A50" s="148" t="s">
        <v>68</v>
      </c>
      <c r="B50" s="149"/>
      <c r="C50" s="75">
        <f>COUNTIF(C9:C48,2)/COUNTA(C9:C48)*1</f>
        <v>0</v>
      </c>
      <c r="D50" s="75">
        <f t="shared" ref="D50:AA50" si="11">COUNTIF(D9:D48,2)/COUNTA(D9:D48)*1</f>
        <v>0</v>
      </c>
      <c r="E50" s="75">
        <f t="shared" si="11"/>
        <v>0</v>
      </c>
      <c r="F50" s="75">
        <f t="shared" si="11"/>
        <v>0</v>
      </c>
      <c r="G50" s="75">
        <f t="shared" si="11"/>
        <v>0</v>
      </c>
      <c r="H50" s="75">
        <f t="shared" si="11"/>
        <v>0</v>
      </c>
      <c r="I50" s="75">
        <f t="shared" si="11"/>
        <v>0</v>
      </c>
      <c r="J50" s="75">
        <f t="shared" si="11"/>
        <v>0</v>
      </c>
      <c r="K50" s="75">
        <f t="shared" si="11"/>
        <v>0</v>
      </c>
      <c r="L50" s="75">
        <f t="shared" si="11"/>
        <v>0</v>
      </c>
      <c r="M50" s="75">
        <f t="shared" si="11"/>
        <v>0</v>
      </c>
      <c r="N50" s="75">
        <f t="shared" si="11"/>
        <v>0</v>
      </c>
      <c r="O50" s="75">
        <f t="shared" si="11"/>
        <v>0</v>
      </c>
      <c r="P50" s="75">
        <f t="shared" si="11"/>
        <v>0</v>
      </c>
      <c r="Q50" s="75">
        <f t="shared" si="11"/>
        <v>0</v>
      </c>
      <c r="R50" s="75">
        <f t="shared" si="11"/>
        <v>0</v>
      </c>
      <c r="S50" s="75">
        <f t="shared" si="11"/>
        <v>0</v>
      </c>
      <c r="T50" s="75">
        <f t="shared" si="11"/>
        <v>0.25</v>
      </c>
      <c r="U50" s="75">
        <f t="shared" si="11"/>
        <v>0</v>
      </c>
      <c r="V50" s="75">
        <f t="shared" si="11"/>
        <v>0.33333333333333331</v>
      </c>
      <c r="W50" s="75">
        <f t="shared" si="11"/>
        <v>0</v>
      </c>
      <c r="X50" s="75">
        <f t="shared" si="11"/>
        <v>0</v>
      </c>
      <c r="Y50" s="75">
        <f t="shared" si="11"/>
        <v>0</v>
      </c>
      <c r="Z50" s="75">
        <f t="shared" si="11"/>
        <v>0</v>
      </c>
      <c r="AA50" s="75">
        <f t="shared" si="11"/>
        <v>0</v>
      </c>
      <c r="AB50" s="15"/>
      <c r="AC50" s="15"/>
      <c r="AD50" s="160"/>
      <c r="AE50" s="161"/>
      <c r="AF50" s="165"/>
      <c r="AG50" s="223"/>
      <c r="AH50" s="165"/>
      <c r="AI50" s="223"/>
      <c r="AJ50" s="168"/>
      <c r="AK50" s="147"/>
      <c r="AL50" s="3"/>
      <c r="AM50" s="1"/>
      <c r="AN50" s="1"/>
    </row>
    <row r="51" spans="1:40" ht="26.25" customHeight="1" thickBot="1" x14ac:dyDescent="0.35">
      <c r="A51" s="150" t="s">
        <v>7</v>
      </c>
      <c r="B51" s="151"/>
      <c r="C51" s="76">
        <f>COUNTIF(C8:C47,1)/COUNTA(C8:C47)*1</f>
        <v>0</v>
      </c>
      <c r="D51" s="76">
        <f t="shared" ref="D51:AA51" si="12">COUNTIF(D8:D47,1)/COUNTA(D8:D47)*1</f>
        <v>0</v>
      </c>
      <c r="E51" s="76">
        <f t="shared" si="12"/>
        <v>0</v>
      </c>
      <c r="F51" s="76">
        <f t="shared" si="12"/>
        <v>0</v>
      </c>
      <c r="G51" s="76">
        <f t="shared" si="12"/>
        <v>0</v>
      </c>
      <c r="H51" s="76">
        <f t="shared" si="12"/>
        <v>0</v>
      </c>
      <c r="I51" s="76">
        <f t="shared" si="12"/>
        <v>0</v>
      </c>
      <c r="J51" s="76">
        <f t="shared" si="12"/>
        <v>0</v>
      </c>
      <c r="K51" s="76">
        <f t="shared" si="12"/>
        <v>0</v>
      </c>
      <c r="L51" s="76">
        <f t="shared" si="12"/>
        <v>0</v>
      </c>
      <c r="M51" s="76">
        <f t="shared" si="12"/>
        <v>0</v>
      </c>
      <c r="N51" s="76">
        <f t="shared" si="12"/>
        <v>0</v>
      </c>
      <c r="O51" s="76">
        <f t="shared" si="12"/>
        <v>0</v>
      </c>
      <c r="P51" s="76">
        <f t="shared" si="12"/>
        <v>1</v>
      </c>
      <c r="Q51" s="76">
        <f t="shared" si="12"/>
        <v>0</v>
      </c>
      <c r="R51" s="76">
        <f t="shared" si="12"/>
        <v>0</v>
      </c>
      <c r="S51" s="76">
        <f t="shared" si="12"/>
        <v>0</v>
      </c>
      <c r="T51" s="76">
        <f t="shared" si="12"/>
        <v>0</v>
      </c>
      <c r="U51" s="76">
        <f t="shared" si="12"/>
        <v>0.5</v>
      </c>
      <c r="V51" s="76">
        <f t="shared" si="12"/>
        <v>0</v>
      </c>
      <c r="W51" s="76">
        <f t="shared" si="12"/>
        <v>0</v>
      </c>
      <c r="X51" s="76">
        <f t="shared" si="12"/>
        <v>0</v>
      </c>
      <c r="Y51" s="76">
        <f t="shared" si="12"/>
        <v>0</v>
      </c>
      <c r="Z51" s="76">
        <f t="shared" si="12"/>
        <v>0</v>
      </c>
      <c r="AA51" s="76">
        <f t="shared" si="12"/>
        <v>0</v>
      </c>
      <c r="AB51" s="15"/>
      <c r="AC51" s="15"/>
      <c r="AD51" s="162"/>
      <c r="AE51" s="163"/>
      <c r="AF51" s="166"/>
      <c r="AG51" s="224"/>
      <c r="AH51" s="166"/>
      <c r="AI51" s="224"/>
      <c r="AJ51" s="169"/>
      <c r="AK51" s="147"/>
      <c r="AL51" s="3"/>
      <c r="AM51" s="1"/>
      <c r="AN51" s="1"/>
    </row>
    <row r="52" spans="1:40" ht="20.100000000000001" customHeight="1" thickBot="1" x14ac:dyDescent="0.35">
      <c r="A52" s="152" t="s">
        <v>8</v>
      </c>
      <c r="B52" s="153"/>
      <c r="C52" s="77">
        <f>COUNTIF(C8:C47,0)/COUNTA(C8:C47)*1</f>
        <v>0</v>
      </c>
      <c r="D52" s="77">
        <f t="shared" ref="D52:AA52" si="13">COUNTIF(D8:D47,0)/COUNTA(D8:D47)*1</f>
        <v>0</v>
      </c>
      <c r="E52" s="77">
        <f t="shared" si="13"/>
        <v>0</v>
      </c>
      <c r="F52" s="77">
        <f t="shared" si="13"/>
        <v>0</v>
      </c>
      <c r="G52" s="77">
        <f t="shared" si="13"/>
        <v>0</v>
      </c>
      <c r="H52" s="77">
        <f t="shared" si="13"/>
        <v>0</v>
      </c>
      <c r="I52" s="77">
        <f t="shared" si="13"/>
        <v>0</v>
      </c>
      <c r="J52" s="77">
        <f t="shared" si="13"/>
        <v>0</v>
      </c>
      <c r="K52" s="77">
        <f t="shared" si="13"/>
        <v>0</v>
      </c>
      <c r="L52" s="77">
        <f t="shared" si="13"/>
        <v>0</v>
      </c>
      <c r="M52" s="77">
        <f t="shared" si="13"/>
        <v>0</v>
      </c>
      <c r="N52" s="77">
        <f t="shared" si="13"/>
        <v>0</v>
      </c>
      <c r="O52" s="77">
        <f t="shared" si="13"/>
        <v>0</v>
      </c>
      <c r="P52" s="77">
        <f t="shared" si="13"/>
        <v>0</v>
      </c>
      <c r="Q52" s="77">
        <f t="shared" si="13"/>
        <v>0</v>
      </c>
      <c r="R52" s="77">
        <f t="shared" si="13"/>
        <v>0</v>
      </c>
      <c r="S52" s="77">
        <f t="shared" si="13"/>
        <v>0</v>
      </c>
      <c r="T52" s="77">
        <f t="shared" si="13"/>
        <v>0</v>
      </c>
      <c r="U52" s="77">
        <f t="shared" si="13"/>
        <v>0</v>
      </c>
      <c r="V52" s="77">
        <f t="shared" si="13"/>
        <v>0</v>
      </c>
      <c r="W52" s="77">
        <f t="shared" si="13"/>
        <v>0</v>
      </c>
      <c r="X52" s="77">
        <f t="shared" si="13"/>
        <v>0</v>
      </c>
      <c r="Y52" s="77">
        <f t="shared" si="13"/>
        <v>0.5</v>
      </c>
      <c r="Z52" s="77">
        <f t="shared" si="13"/>
        <v>0.5</v>
      </c>
      <c r="AA52" s="77">
        <f t="shared" si="13"/>
        <v>0.5</v>
      </c>
      <c r="AB52" s="15"/>
      <c r="AC52" s="15"/>
      <c r="AD52" s="154" t="s">
        <v>34</v>
      </c>
      <c r="AE52" s="155"/>
      <c r="AF52" s="79">
        <f>COUNTIFS(AF8:AF47,"Logrado")</f>
        <v>1</v>
      </c>
      <c r="AG52" s="79">
        <f t="shared" ref="AG52:AJ52" si="14">COUNTIFS(AG8:AG47,"Logrado")</f>
        <v>0</v>
      </c>
      <c r="AH52" s="79">
        <f t="shared" si="14"/>
        <v>1</v>
      </c>
      <c r="AI52" s="79">
        <f t="shared" si="14"/>
        <v>1</v>
      </c>
      <c r="AJ52" s="79">
        <f t="shared" si="14"/>
        <v>1</v>
      </c>
      <c r="AK52" s="1"/>
      <c r="AL52" s="1"/>
      <c r="AM52" s="1"/>
      <c r="AN52" s="1"/>
    </row>
    <row r="53" spans="1:40" ht="20.100000000000001" customHeight="1" thickBot="1" x14ac:dyDescent="0.35">
      <c r="A53" s="187" t="s">
        <v>35</v>
      </c>
      <c r="B53" s="188"/>
      <c r="C53" s="78">
        <f>SUM(C49:C52)</f>
        <v>1</v>
      </c>
      <c r="D53" s="78">
        <f t="shared" ref="D53:AA53" si="15">SUM(D49:D52)</f>
        <v>1</v>
      </c>
      <c r="E53" s="78">
        <f t="shared" si="15"/>
        <v>1</v>
      </c>
      <c r="F53" s="78">
        <f t="shared" si="15"/>
        <v>1</v>
      </c>
      <c r="G53" s="78">
        <f t="shared" si="15"/>
        <v>1</v>
      </c>
      <c r="H53" s="78">
        <f t="shared" si="15"/>
        <v>1</v>
      </c>
      <c r="I53" s="78">
        <f t="shared" si="15"/>
        <v>1</v>
      </c>
      <c r="J53" s="78">
        <f t="shared" si="15"/>
        <v>1</v>
      </c>
      <c r="K53" s="78">
        <f t="shared" si="15"/>
        <v>1</v>
      </c>
      <c r="L53" s="78">
        <f t="shared" si="15"/>
        <v>1</v>
      </c>
      <c r="M53" s="78">
        <f t="shared" si="15"/>
        <v>1</v>
      </c>
      <c r="N53" s="78">
        <f t="shared" si="15"/>
        <v>1</v>
      </c>
      <c r="O53" s="78">
        <f t="shared" si="15"/>
        <v>1</v>
      </c>
      <c r="P53" s="78">
        <f t="shared" si="15"/>
        <v>1</v>
      </c>
      <c r="Q53" s="78">
        <f t="shared" si="15"/>
        <v>1</v>
      </c>
      <c r="R53" s="78">
        <f t="shared" si="15"/>
        <v>1</v>
      </c>
      <c r="S53" s="78">
        <f t="shared" si="15"/>
        <v>1</v>
      </c>
      <c r="T53" s="78">
        <f t="shared" si="15"/>
        <v>1</v>
      </c>
      <c r="U53" s="78">
        <f t="shared" si="15"/>
        <v>1</v>
      </c>
      <c r="V53" s="78">
        <f t="shared" si="15"/>
        <v>1</v>
      </c>
      <c r="W53" s="78">
        <f t="shared" si="15"/>
        <v>1</v>
      </c>
      <c r="X53" s="78">
        <f t="shared" si="15"/>
        <v>1</v>
      </c>
      <c r="Y53" s="78">
        <f t="shared" si="15"/>
        <v>1</v>
      </c>
      <c r="Z53" s="78">
        <f t="shared" si="15"/>
        <v>1</v>
      </c>
      <c r="AA53" s="78">
        <f t="shared" si="15"/>
        <v>1</v>
      </c>
      <c r="AB53" s="15"/>
      <c r="AC53" s="15"/>
      <c r="AD53" s="189" t="s">
        <v>36</v>
      </c>
      <c r="AE53" s="190"/>
      <c r="AF53" s="80">
        <f>COUNTIFS(AF8:AF47,"Proceso")</f>
        <v>0</v>
      </c>
      <c r="AG53" s="80">
        <f t="shared" ref="AG53:AJ53" si="16">COUNTIFS(AG8:AG47,"Proceso")</f>
        <v>3</v>
      </c>
      <c r="AH53" s="80">
        <f t="shared" si="16"/>
        <v>0</v>
      </c>
      <c r="AI53" s="80">
        <f t="shared" si="16"/>
        <v>0</v>
      </c>
      <c r="AJ53" s="80">
        <f t="shared" si="16"/>
        <v>0</v>
      </c>
      <c r="AK53" s="1"/>
      <c r="AL53" s="1"/>
      <c r="AM53" s="1"/>
      <c r="AN53" s="1"/>
    </row>
    <row r="54" spans="1:40" ht="20.100000000000001" customHeight="1" x14ac:dyDescent="0.3">
      <c r="A54" s="50"/>
      <c r="B54" s="50"/>
      <c r="C54" s="51"/>
      <c r="D54" s="51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9" t="s">
        <v>37</v>
      </c>
      <c r="AE54" s="180"/>
      <c r="AF54" s="80">
        <f>COUNTIFS(AF8:AF47,"Inicio")</f>
        <v>0</v>
      </c>
      <c r="AG54" s="80">
        <f t="shared" ref="AG54:AJ54" si="17">COUNTIFS(AG8:AG47,"Inicio")</f>
        <v>0</v>
      </c>
      <c r="AH54" s="80">
        <f t="shared" si="17"/>
        <v>3</v>
      </c>
      <c r="AI54" s="80">
        <f t="shared" si="17"/>
        <v>0</v>
      </c>
      <c r="AJ54" s="80">
        <f t="shared" si="17"/>
        <v>1</v>
      </c>
      <c r="AK54" s="1"/>
      <c r="AL54" s="1"/>
      <c r="AM54" s="1"/>
      <c r="AN54" s="1"/>
    </row>
    <row r="55" spans="1:40" ht="20.100000000000001" customHeight="1" thickBot="1" x14ac:dyDescent="0.35">
      <c r="A55" s="50"/>
      <c r="B55" s="50"/>
      <c r="C55" s="94"/>
      <c r="D55" s="9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228" t="s">
        <v>38</v>
      </c>
      <c r="AE55" s="229"/>
      <c r="AF55" s="95">
        <f>COUNTIFS(AF8:AF47,"Previo al inicio")</f>
        <v>0</v>
      </c>
      <c r="AG55" s="95">
        <f t="shared" ref="AG55:AJ55" si="18">COUNTIFS(AG8:AG47,"Previo al inicio")</f>
        <v>0</v>
      </c>
      <c r="AH55" s="95">
        <f t="shared" si="18"/>
        <v>0</v>
      </c>
      <c r="AI55" s="95">
        <f t="shared" si="18"/>
        <v>1</v>
      </c>
      <c r="AJ55" s="95">
        <f t="shared" si="18"/>
        <v>2</v>
      </c>
      <c r="AK55" s="1"/>
      <c r="AL55" s="1"/>
      <c r="AM55" s="1"/>
      <c r="AN55" s="1"/>
    </row>
    <row r="56" spans="1:40" ht="34.5" customHeight="1" thickBot="1" x14ac:dyDescent="0.35">
      <c r="A56" s="181" t="s">
        <v>39</v>
      </c>
      <c r="B56" s="182"/>
      <c r="C56" s="82" t="str">
        <f t="shared" ref="C56:AA56" si="19">IF(COUNTIF(C8:C47,3)/COUNTA(C8:C47)&lt;=0.25,"Previo al inicio",
   IF(COUNTIF(C8:C47,3)/COUNTA(C8:C47)&lt;=0.5,"Inicio",
   IF(COUNTIF(C8:C47,3)/COUNTA(C8:C47)&lt;=0.75,"Proceso",
   "Logrado")))</f>
        <v>Logrado</v>
      </c>
      <c r="D56" s="83" t="str">
        <f t="shared" si="19"/>
        <v>Logrado</v>
      </c>
      <c r="E56" s="83" t="str">
        <f t="shared" si="19"/>
        <v>Logrado</v>
      </c>
      <c r="F56" s="83" t="str">
        <f t="shared" si="19"/>
        <v>Logrado</v>
      </c>
      <c r="G56" s="83" t="str">
        <f t="shared" si="19"/>
        <v>Logrado</v>
      </c>
      <c r="H56" s="83" t="str">
        <f t="shared" si="19"/>
        <v>Logrado</v>
      </c>
      <c r="I56" s="83" t="str">
        <f t="shared" si="19"/>
        <v>Logrado</v>
      </c>
      <c r="J56" s="83" t="str">
        <f t="shared" si="19"/>
        <v>Logrado</v>
      </c>
      <c r="K56" s="83" t="str">
        <f t="shared" si="19"/>
        <v>Logrado</v>
      </c>
      <c r="L56" s="84" t="str">
        <f t="shared" si="19"/>
        <v>Logrado</v>
      </c>
      <c r="M56" s="85" t="str">
        <f t="shared" si="19"/>
        <v>Logrado</v>
      </c>
      <c r="N56" s="83" t="str">
        <f t="shared" si="19"/>
        <v>Logrado</v>
      </c>
      <c r="O56" s="83" t="str">
        <f t="shared" si="19"/>
        <v>Logrado</v>
      </c>
      <c r="P56" s="83" t="str">
        <f t="shared" si="19"/>
        <v>Previo al inicio</v>
      </c>
      <c r="Q56" s="83" t="str">
        <f t="shared" si="19"/>
        <v>Logrado</v>
      </c>
      <c r="R56" s="97" t="str">
        <f t="shared" si="19"/>
        <v>Logrado</v>
      </c>
      <c r="S56" s="82" t="str">
        <f t="shared" si="19"/>
        <v>Logrado</v>
      </c>
      <c r="T56" s="83" t="str">
        <f t="shared" si="19"/>
        <v>Proceso</v>
      </c>
      <c r="U56" s="83" t="str">
        <f t="shared" si="19"/>
        <v>Inicio</v>
      </c>
      <c r="V56" s="83" t="str">
        <f t="shared" si="19"/>
        <v>Proceso</v>
      </c>
      <c r="W56" s="83" t="str">
        <f t="shared" si="19"/>
        <v>Logrado</v>
      </c>
      <c r="X56" s="84" t="str">
        <f t="shared" si="19"/>
        <v>Logrado</v>
      </c>
      <c r="Y56" s="85" t="str">
        <f t="shared" si="19"/>
        <v>Inicio</v>
      </c>
      <c r="Z56" s="83" t="str">
        <f t="shared" si="19"/>
        <v>Inicio</v>
      </c>
      <c r="AA56" s="84" t="str">
        <f t="shared" si="19"/>
        <v>Inicio</v>
      </c>
      <c r="AB56" s="15"/>
      <c r="AC56" s="15"/>
      <c r="AD56" s="183" t="s">
        <v>40</v>
      </c>
      <c r="AE56" s="184"/>
      <c r="AF56" s="96">
        <f>SUM(AF52:AF55)</f>
        <v>1</v>
      </c>
      <c r="AG56" s="96">
        <f t="shared" ref="AG56:AJ56" si="20">SUM(AG52:AG55)</f>
        <v>3</v>
      </c>
      <c r="AH56" s="96">
        <f t="shared" si="20"/>
        <v>4</v>
      </c>
      <c r="AI56" s="96">
        <f t="shared" si="20"/>
        <v>2</v>
      </c>
      <c r="AJ56" s="96">
        <f t="shared" si="20"/>
        <v>4</v>
      </c>
      <c r="AK56" s="1"/>
      <c r="AL56" s="1"/>
      <c r="AM56" s="1"/>
      <c r="AN56" s="1"/>
    </row>
    <row r="57" spans="1:40" ht="25.5" customHeight="1" thickBot="1" x14ac:dyDescent="0.35">
      <c r="A57" s="185" t="s">
        <v>41</v>
      </c>
      <c r="B57" s="230"/>
      <c r="C57" s="231" t="str">
        <f>IF(SUM(C49:L49)&lt;=250%,"Previo al inicio",
   IF(SUM(C49:L49)&lt;=500%,"Inicio",
   IF(SUM(C49:L49)&lt;=750%,"Proceso",
   "Logrado")))</f>
        <v>Logrado</v>
      </c>
      <c r="D57" s="232"/>
      <c r="E57" s="232"/>
      <c r="F57" s="232"/>
      <c r="G57" s="232"/>
      <c r="H57" s="232"/>
      <c r="I57" s="232"/>
      <c r="J57" s="232"/>
      <c r="K57" s="232"/>
      <c r="L57" s="233"/>
      <c r="M57" s="231" t="str">
        <f>IF(SUM(M49:R49)&lt;=150%,"Previo al inicio",
   IF(SUM(M49:R49)&lt;=300%,"Inicio",
   IF(SUM(M49:R49)&lt;=450%,"Proceso",
   "Logrado")))</f>
        <v>Logrado</v>
      </c>
      <c r="N57" s="232"/>
      <c r="O57" s="232"/>
      <c r="P57" s="232"/>
      <c r="Q57" s="232"/>
      <c r="R57" s="232"/>
      <c r="S57" s="231" t="str">
        <f>IF(SUM(S49:X49)&lt;=150%,"Previo al inicio",
   IF(SUM(S49:X49)&lt;=300%,"Inicio",
   IF(SUM(S49:X49)&lt;=450%,"Proceso",
   "Logrado")))</f>
        <v>Logrado</v>
      </c>
      <c r="T57" s="232"/>
      <c r="U57" s="232"/>
      <c r="V57" s="232"/>
      <c r="W57" s="232"/>
      <c r="X57" s="232"/>
      <c r="Y57" s="231" t="str">
        <f>IF(SUM(Y49:AA49)&lt;=75%,"Previo al inicio",
   IF(SUM(Y49:AA49)&lt;=150%,"Inicio",
   IF(SUM(Y49:AA49)&lt;=225%,"Proceso",
   "Logrado")))</f>
        <v>Inicio</v>
      </c>
      <c r="Z57" s="232"/>
      <c r="AA57" s="233"/>
      <c r="AB57" s="52"/>
      <c r="AC57" s="52"/>
      <c r="AD57" s="52"/>
      <c r="AE57" s="15"/>
      <c r="AF57" s="15"/>
      <c r="AG57" s="15"/>
      <c r="AH57" s="15"/>
      <c r="AI57" s="15"/>
      <c r="AJ57" s="15"/>
      <c r="AK57" s="1"/>
      <c r="AL57" s="1"/>
      <c r="AM57" s="1"/>
      <c r="AN57" s="1"/>
    </row>
    <row r="58" spans="1:40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6.2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6.2" thickBot="1" x14ac:dyDescent="0.35">
      <c r="A60" s="1"/>
      <c r="B60" s="225" t="s">
        <v>42</v>
      </c>
      <c r="C60" s="226"/>
      <c r="D60" s="227"/>
      <c r="E60" s="4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.6" x14ac:dyDescent="0.3">
      <c r="A61" s="1"/>
      <c r="B61" s="13" t="s">
        <v>6</v>
      </c>
      <c r="C61" s="14" t="s">
        <v>43</v>
      </c>
      <c r="D61" s="7">
        <v>3</v>
      </c>
      <c r="E61" s="6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.6" x14ac:dyDescent="0.3">
      <c r="A62" s="1"/>
      <c r="B62" s="13" t="s">
        <v>68</v>
      </c>
      <c r="C62" s="14" t="s">
        <v>69</v>
      </c>
      <c r="D62" s="8">
        <v>2</v>
      </c>
      <c r="E62" s="6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.6" x14ac:dyDescent="0.3">
      <c r="A63" s="1"/>
      <c r="B63" s="9" t="s">
        <v>7</v>
      </c>
      <c r="C63" s="11" t="s">
        <v>44</v>
      </c>
      <c r="D63" s="7">
        <v>1</v>
      </c>
      <c r="E63" s="6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6.2" thickBot="1" x14ac:dyDescent="0.35">
      <c r="A64" s="1"/>
      <c r="B64" s="10" t="s">
        <v>8</v>
      </c>
      <c r="C64" s="12" t="s">
        <v>45</v>
      </c>
      <c r="D64" s="8">
        <v>0</v>
      </c>
      <c r="E64" s="6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</sheetData>
  <sheetProtection algorithmName="SHA-512" hashValue="qAiTyljxWmmk80dchPeR+eGT900MrCc5Ug1YtSJEgULA0AtHbBPv8cwCgvytn2JIY+3TI6Z6C45VbQcV4+O7IA==" saltValue="fof1kWA3DNJLH3zEX8A76w==" spinCount="100000" sheet="1" objects="1" scenarios="1"/>
  <mergeCells count="45">
    <mergeCell ref="B60:D60"/>
    <mergeCell ref="AD54:AE54"/>
    <mergeCell ref="AD55:AE55"/>
    <mergeCell ref="A56:B56"/>
    <mergeCell ref="AD56:AE56"/>
    <mergeCell ref="A57:B57"/>
    <mergeCell ref="C57:L57"/>
    <mergeCell ref="M57:R57"/>
    <mergeCell ref="S57:X57"/>
    <mergeCell ref="Y57:AA57"/>
    <mergeCell ref="AK49:AK51"/>
    <mergeCell ref="A50:B50"/>
    <mergeCell ref="A51:B51"/>
    <mergeCell ref="A52:B52"/>
    <mergeCell ref="AD52:AE52"/>
    <mergeCell ref="AG6:AG7"/>
    <mergeCell ref="AH6:AH7"/>
    <mergeCell ref="AI6:AI7"/>
    <mergeCell ref="A53:B53"/>
    <mergeCell ref="AD53:AE53"/>
    <mergeCell ref="A48:B48"/>
    <mergeCell ref="AD48:AJ48"/>
    <mergeCell ref="A49:B49"/>
    <mergeCell ref="AD49:AE51"/>
    <mergeCell ref="AF49:AF51"/>
    <mergeCell ref="AG49:AG51"/>
    <mergeCell ref="AH49:AH51"/>
    <mergeCell ref="AI49:AI51"/>
    <mergeCell ref="AJ49:AJ51"/>
    <mergeCell ref="A1:AJ1"/>
    <mergeCell ref="A3:B3"/>
    <mergeCell ref="C3:AJ3"/>
    <mergeCell ref="A5:A7"/>
    <mergeCell ref="C5:L5"/>
    <mergeCell ref="M5:R5"/>
    <mergeCell ref="S5:X5"/>
    <mergeCell ref="Y5:AA5"/>
    <mergeCell ref="AB5:AE5"/>
    <mergeCell ref="AF5:AI5"/>
    <mergeCell ref="AJ5:AJ7"/>
    <mergeCell ref="AB6:AB7"/>
    <mergeCell ref="AC6:AC7"/>
    <mergeCell ref="AD6:AD7"/>
    <mergeCell ref="AE6:AE7"/>
    <mergeCell ref="AF6:AF7"/>
  </mergeCells>
  <conditionalFormatting sqref="AJ8:AJ47 C56:AA56">
    <cfRule type="expression" dxfId="47" priority="13">
      <formula>C8="Logrado"</formula>
    </cfRule>
    <cfRule type="expression" dxfId="46" priority="14">
      <formula>C8="Proceso"</formula>
    </cfRule>
    <cfRule type="expression" dxfId="45" priority="15">
      <formula>C8="Inicio"</formula>
    </cfRule>
    <cfRule type="expression" dxfId="44" priority="16">
      <formula>C8="Previo al Inicio"</formula>
    </cfRule>
  </conditionalFormatting>
  <conditionalFormatting sqref="AF8:AI47">
    <cfRule type="expression" dxfId="43" priority="9">
      <formula>AF8="Previo al inicio"</formula>
    </cfRule>
    <cfRule type="expression" dxfId="42" priority="10">
      <formula>AF8="Inicio"</formula>
    </cfRule>
    <cfRule type="expression" dxfId="41" priority="11">
      <formula>AF8="Proceso"</formula>
    </cfRule>
    <cfRule type="expression" dxfId="40" priority="12">
      <formula>AF8="Logrado"</formula>
    </cfRule>
  </conditionalFormatting>
  <conditionalFormatting sqref="C57 M57 S57 Y57">
    <cfRule type="expression" dxfId="39" priority="5">
      <formula>C57="Previo al inicio"</formula>
    </cfRule>
    <cfRule type="expression" dxfId="38" priority="6">
      <formula>C57="Inicio"</formula>
    </cfRule>
    <cfRule type="expression" dxfId="37" priority="7">
      <formula>C57="Proceso"</formula>
    </cfRule>
    <cfRule type="expression" dxfId="36" priority="8">
      <formula>C57="Logrado"</formula>
    </cfRule>
  </conditionalFormatting>
  <dataValidations count="1">
    <dataValidation type="list" showInputMessage="1" showErrorMessage="1" sqref="D61:D64 C8:AA47" xr:uid="{00000000-0002-0000-0200-000000000000}">
      <formula1>"0,1,2,3"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5C17A7B3-1EC6-4080-8642-87C5F22CBAAE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E61:F62</xm:sqref>
        </x14:conditionalFormatting>
        <x14:conditionalFormatting xmlns:xm="http://schemas.microsoft.com/office/excel/2006/main">
          <x14:cfRule type="iconSet" priority="3" id="{FBC2DEB0-8F82-45F2-9E32-15E7769C3C14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E63:F63</xm:sqref>
        </x14:conditionalFormatting>
        <x14:conditionalFormatting xmlns:xm="http://schemas.microsoft.com/office/excel/2006/main">
          <x14:cfRule type="iconSet" priority="2" id="{C174CD6C-EEA1-4124-A8AB-741D4518059D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E64:F64</xm:sqref>
        </x14:conditionalFormatting>
        <x14:conditionalFormatting xmlns:xm="http://schemas.microsoft.com/office/excel/2006/main">
          <x14:cfRule type="iconSet" priority="1" id="{20A7AA2D-4C3D-41BC-9327-85A5B343FA8E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D61:D64</xm:sqref>
        </x14:conditionalFormatting>
        <x14:conditionalFormatting xmlns:xm="http://schemas.microsoft.com/office/excel/2006/main">
          <x14:cfRule type="iconSet" priority="160" id="{790D8E54-FCE6-4AF9-954D-3F8AAC4DA9E2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C20:AA20 C26:AA26 C32:AA32 C38:AA38 C44:AA44 C8:AA14</xm:sqref>
        </x14:conditionalFormatting>
        <x14:conditionalFormatting xmlns:xm="http://schemas.microsoft.com/office/excel/2006/main">
          <x14:cfRule type="iconSet" priority="172" id="{725A489A-F83B-4978-9260-5D4749C664E2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C15:AA19</xm:sqref>
        </x14:conditionalFormatting>
        <x14:conditionalFormatting xmlns:xm="http://schemas.microsoft.com/office/excel/2006/main">
          <x14:cfRule type="iconSet" priority="174" id="{4F3CBDCB-AB8D-4AF9-BA44-26C5E0E8925A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C21:AA25</xm:sqref>
        </x14:conditionalFormatting>
        <x14:conditionalFormatting xmlns:xm="http://schemas.microsoft.com/office/excel/2006/main">
          <x14:cfRule type="iconSet" priority="176" id="{C5A63D39-5015-492A-9B89-681EACB1DCCE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C27:AA31</xm:sqref>
        </x14:conditionalFormatting>
        <x14:conditionalFormatting xmlns:xm="http://schemas.microsoft.com/office/excel/2006/main">
          <x14:cfRule type="iconSet" priority="178" id="{A83FB981-1AFD-4FFF-93F5-87EC5A030725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C33:AA37</xm:sqref>
        </x14:conditionalFormatting>
        <x14:conditionalFormatting xmlns:xm="http://schemas.microsoft.com/office/excel/2006/main">
          <x14:cfRule type="iconSet" priority="180" id="{6839A4B2-0D9D-47BE-A0A0-F7AA4814DEF8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C39:AA43</xm:sqref>
        </x14:conditionalFormatting>
        <x14:conditionalFormatting xmlns:xm="http://schemas.microsoft.com/office/excel/2006/main">
          <x14:cfRule type="iconSet" priority="182" id="{3189B922-D58F-4DD7-9B63-8F07E5B9A0D6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C45:AA47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7"/>
  <sheetViews>
    <sheetView topLeftCell="A7" zoomScale="50" zoomScaleNormal="50" workbookViewId="0">
      <selection activeCell="AF14" sqref="AF14"/>
    </sheetView>
  </sheetViews>
  <sheetFormatPr baseColWidth="10" defaultRowHeight="14.4" x14ac:dyDescent="0.3"/>
  <cols>
    <col min="1" max="1" width="6.44140625" customWidth="1"/>
    <col min="2" max="2" width="44" customWidth="1"/>
    <col min="3" max="27" width="12.6640625" customWidth="1"/>
    <col min="28" max="31" width="10.6640625" customWidth="1"/>
    <col min="32" max="35" width="22.33203125" customWidth="1"/>
    <col min="36" max="36" width="21" customWidth="1"/>
    <col min="38" max="38" width="17.5546875" customWidth="1"/>
  </cols>
  <sheetData>
    <row r="1" spans="1:40" ht="33.6" thickBot="1" x14ac:dyDescent="0.65">
      <c r="A1" s="129" t="s">
        <v>75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1"/>
      <c r="AK1" s="1"/>
      <c r="AL1" s="1"/>
      <c r="AM1" s="1"/>
      <c r="AN1" s="1"/>
    </row>
    <row r="2" spans="1:40" ht="16.2" thickBo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"/>
      <c r="AL2" s="1"/>
      <c r="AM2" s="1"/>
      <c r="AN2" s="1"/>
    </row>
    <row r="3" spans="1:40" ht="21.6" thickBot="1" x14ac:dyDescent="0.45">
      <c r="A3" s="132" t="s">
        <v>0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6"/>
      <c r="AK3" s="1"/>
      <c r="AL3" s="1"/>
      <c r="AM3" s="1"/>
      <c r="AN3" s="1"/>
    </row>
    <row r="4" spans="1:40" ht="16.2" thickBot="1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"/>
      <c r="AL4" s="1"/>
      <c r="AM4" s="1"/>
      <c r="AN4" s="1"/>
    </row>
    <row r="5" spans="1:40" ht="52.5" customHeight="1" thickBot="1" x14ac:dyDescent="0.35">
      <c r="A5" s="137" t="s">
        <v>1</v>
      </c>
      <c r="B5" s="17" t="s">
        <v>2</v>
      </c>
      <c r="C5" s="139" t="s">
        <v>50</v>
      </c>
      <c r="D5" s="140"/>
      <c r="E5" s="140"/>
      <c r="F5" s="140"/>
      <c r="G5" s="140"/>
      <c r="H5" s="140"/>
      <c r="I5" s="140"/>
      <c r="J5" s="140"/>
      <c r="K5" s="140"/>
      <c r="L5" s="213"/>
      <c r="M5" s="139" t="s">
        <v>58</v>
      </c>
      <c r="N5" s="140"/>
      <c r="O5" s="140"/>
      <c r="P5" s="140"/>
      <c r="Q5" s="140"/>
      <c r="R5" s="213"/>
      <c r="S5" s="139" t="s">
        <v>64</v>
      </c>
      <c r="T5" s="140"/>
      <c r="U5" s="140"/>
      <c r="V5" s="140"/>
      <c r="W5" s="140"/>
      <c r="X5" s="213"/>
      <c r="Y5" s="139" t="s">
        <v>66</v>
      </c>
      <c r="Z5" s="140"/>
      <c r="AA5" s="213"/>
      <c r="AB5" s="141" t="s">
        <v>3</v>
      </c>
      <c r="AC5" s="142"/>
      <c r="AD5" s="143"/>
      <c r="AE5" s="144"/>
      <c r="AF5" s="145" t="s">
        <v>2</v>
      </c>
      <c r="AG5" s="214"/>
      <c r="AH5" s="214"/>
      <c r="AI5" s="215"/>
      <c r="AJ5" s="216" t="s">
        <v>4</v>
      </c>
      <c r="AK5" s="1"/>
      <c r="AL5" s="1"/>
      <c r="AM5" s="1"/>
      <c r="AN5" s="1"/>
    </row>
    <row r="6" spans="1:40" ht="151.5" customHeight="1" thickBot="1" x14ac:dyDescent="0.35">
      <c r="A6" s="138"/>
      <c r="B6" s="18" t="s">
        <v>5</v>
      </c>
      <c r="C6" s="87" t="s">
        <v>46</v>
      </c>
      <c r="D6" s="86" t="s">
        <v>47</v>
      </c>
      <c r="E6" s="86" t="s">
        <v>46</v>
      </c>
      <c r="F6" s="86" t="s">
        <v>48</v>
      </c>
      <c r="G6" s="86" t="s">
        <v>48</v>
      </c>
      <c r="H6" s="86" t="s">
        <v>47</v>
      </c>
      <c r="I6" s="86" t="s">
        <v>49</v>
      </c>
      <c r="J6" s="86" t="s">
        <v>47</v>
      </c>
      <c r="K6" s="86" t="s">
        <v>49</v>
      </c>
      <c r="L6" s="88" t="s">
        <v>47</v>
      </c>
      <c r="M6" s="20" t="s">
        <v>51</v>
      </c>
      <c r="N6" s="21" t="s">
        <v>52</v>
      </c>
      <c r="O6" s="21" t="s">
        <v>51</v>
      </c>
      <c r="P6" s="21" t="s">
        <v>52</v>
      </c>
      <c r="Q6" s="21" t="s">
        <v>52</v>
      </c>
      <c r="R6" s="89" t="s">
        <v>57</v>
      </c>
      <c r="S6" s="20" t="s">
        <v>59</v>
      </c>
      <c r="T6" s="21" t="s">
        <v>60</v>
      </c>
      <c r="U6" s="21" t="s">
        <v>61</v>
      </c>
      <c r="V6" s="21" t="s">
        <v>61</v>
      </c>
      <c r="W6" s="21" t="s">
        <v>61</v>
      </c>
      <c r="X6" s="89" t="s">
        <v>62</v>
      </c>
      <c r="Y6" s="20" t="s">
        <v>63</v>
      </c>
      <c r="Z6" s="21" t="s">
        <v>65</v>
      </c>
      <c r="AA6" s="89" t="s">
        <v>65</v>
      </c>
      <c r="AB6" s="199" t="s">
        <v>6</v>
      </c>
      <c r="AC6" s="201" t="s">
        <v>68</v>
      </c>
      <c r="AD6" s="203" t="s">
        <v>7</v>
      </c>
      <c r="AE6" s="125" t="s">
        <v>8</v>
      </c>
      <c r="AF6" s="127" t="s">
        <v>50</v>
      </c>
      <c r="AG6" s="218" t="s">
        <v>58</v>
      </c>
      <c r="AH6" s="220" t="s">
        <v>64</v>
      </c>
      <c r="AI6" s="218" t="s">
        <v>66</v>
      </c>
      <c r="AJ6" s="217"/>
      <c r="AK6" s="1"/>
      <c r="AL6" s="1"/>
      <c r="AM6" s="1"/>
      <c r="AN6" s="1"/>
    </row>
    <row r="7" spans="1:40" ht="24" customHeight="1" thickBot="1" x14ac:dyDescent="0.35">
      <c r="A7" s="138"/>
      <c r="B7" s="22" t="s">
        <v>9</v>
      </c>
      <c r="C7" s="23" t="s">
        <v>10</v>
      </c>
      <c r="D7" s="24" t="s">
        <v>11</v>
      </c>
      <c r="E7" s="24" t="s">
        <v>12</v>
      </c>
      <c r="F7" s="24" t="s">
        <v>13</v>
      </c>
      <c r="G7" s="24" t="s">
        <v>14</v>
      </c>
      <c r="H7" s="24" t="s">
        <v>15</v>
      </c>
      <c r="I7" s="24" t="s">
        <v>16</v>
      </c>
      <c r="J7" s="24" t="s">
        <v>17</v>
      </c>
      <c r="K7" s="24" t="s">
        <v>18</v>
      </c>
      <c r="L7" s="26" t="s">
        <v>19</v>
      </c>
      <c r="M7" s="23" t="s">
        <v>20</v>
      </c>
      <c r="N7" s="24" t="s">
        <v>21</v>
      </c>
      <c r="O7" s="24" t="s">
        <v>22</v>
      </c>
      <c r="P7" s="24" t="s">
        <v>23</v>
      </c>
      <c r="Q7" s="24" t="s">
        <v>24</v>
      </c>
      <c r="R7" s="26" t="s">
        <v>25</v>
      </c>
      <c r="S7" s="23" t="s">
        <v>26</v>
      </c>
      <c r="T7" s="24" t="s">
        <v>27</v>
      </c>
      <c r="U7" s="24" t="s">
        <v>28</v>
      </c>
      <c r="V7" s="24" t="s">
        <v>29</v>
      </c>
      <c r="W7" s="24" t="s">
        <v>53</v>
      </c>
      <c r="X7" s="26" t="s">
        <v>54</v>
      </c>
      <c r="Y7" s="23" t="s">
        <v>55</v>
      </c>
      <c r="Z7" s="24" t="s">
        <v>56</v>
      </c>
      <c r="AA7" s="26" t="s">
        <v>67</v>
      </c>
      <c r="AB7" s="200"/>
      <c r="AC7" s="202"/>
      <c r="AD7" s="204"/>
      <c r="AE7" s="126"/>
      <c r="AF7" s="128"/>
      <c r="AG7" s="219"/>
      <c r="AH7" s="221"/>
      <c r="AI7" s="219"/>
      <c r="AJ7" s="217"/>
      <c r="AK7" s="1"/>
      <c r="AL7" s="1"/>
      <c r="AM7" s="1"/>
      <c r="AN7" s="1"/>
    </row>
    <row r="8" spans="1:40" ht="20.100000000000001" customHeight="1" x14ac:dyDescent="0.3">
      <c r="A8" s="27">
        <v>1</v>
      </c>
      <c r="B8" s="28"/>
      <c r="C8" s="29">
        <v>3</v>
      </c>
      <c r="D8" s="30">
        <v>3</v>
      </c>
      <c r="E8" s="30">
        <v>3</v>
      </c>
      <c r="F8" s="30">
        <v>3</v>
      </c>
      <c r="G8" s="30">
        <v>3</v>
      </c>
      <c r="H8" s="30">
        <v>3</v>
      </c>
      <c r="I8" s="30">
        <v>3</v>
      </c>
      <c r="J8" s="30">
        <v>3</v>
      </c>
      <c r="K8" s="30">
        <v>3</v>
      </c>
      <c r="L8" s="90">
        <v>3</v>
      </c>
      <c r="M8" s="29">
        <v>0</v>
      </c>
      <c r="N8" s="30">
        <v>0</v>
      </c>
      <c r="O8" s="30">
        <v>0</v>
      </c>
      <c r="P8" s="30">
        <v>0</v>
      </c>
      <c r="Q8" s="30">
        <v>0</v>
      </c>
      <c r="R8" s="90">
        <v>0</v>
      </c>
      <c r="S8" s="29">
        <v>0</v>
      </c>
      <c r="T8" s="30">
        <v>0</v>
      </c>
      <c r="U8" s="30">
        <v>0</v>
      </c>
      <c r="V8" s="30">
        <v>0</v>
      </c>
      <c r="W8" s="30">
        <v>0</v>
      </c>
      <c r="X8" s="90">
        <v>0</v>
      </c>
      <c r="Y8" s="29">
        <v>0</v>
      </c>
      <c r="Z8" s="30">
        <v>0</v>
      </c>
      <c r="AA8" s="90">
        <v>0</v>
      </c>
      <c r="AB8" s="63">
        <f t="shared" ref="AB8:AB11" si="0">COUNTIF(C8:AA8,3)</f>
        <v>10</v>
      </c>
      <c r="AC8" s="63">
        <f>COUNTIF(C8:AA8,2)</f>
        <v>0</v>
      </c>
      <c r="AD8" s="64">
        <f t="shared" ref="AD8:AD11" si="1">COUNTIF(C8:AA8,1)</f>
        <v>0</v>
      </c>
      <c r="AE8" s="63">
        <f t="shared" ref="AE8:AE47" si="2">COUNTIF(C8:AA8,0)</f>
        <v>15</v>
      </c>
      <c r="AF8" s="65" t="str">
        <f>IF(COUNTA(C8:L8)=0,"",
   IF(COUNTIF(C8:L8,3)&lt;=2,"Previo al Inicio",
      IF(COUNTIF(C8:L8,3)&lt;=5,"Inicio",
         IF(COUNTIF(C8:L8,3)&lt;=8,"Proceso",
            IF(COUNTIF(C8:L8,3)&lt;=10,"Logrado","")))))</f>
        <v>Logrado</v>
      </c>
      <c r="AG8" s="63" t="str">
        <f t="shared" ref="AG8:AG47" si="3">IF(COUNTA(M8:R8)=0,"",
   IF(COUNTIF(M8:R8,3)&lt;=1,"Previo al Inicio",
      IF(COUNTIF(M8:R8,3)&lt;=3,"Inicio",
         IF(COUNTIF(M8:R8,3)&lt;=5,"Proceso",
            IF(COUNTIF(M8:R8,3)=6,"Logrado","")))))</f>
        <v>Previo al Inicio</v>
      </c>
      <c r="AH8" s="64" t="str">
        <f t="shared" ref="AH8:AH47" si="4">IF(COUNTA(S8:X8)=0,"",
   IF(COUNTIF(S8:X8,3)&lt;=1,"Previo al Inicio",
      IF(COUNTIF(S8:X8,3)&lt;=3,"Inicio",
         IF(COUNTIF(S8:X8,3)&lt;=5,"Proceso",
            IF(COUNTIF(S8:X8,3)=6,"Logrado","")))))</f>
        <v>Previo al Inicio</v>
      </c>
      <c r="AI8" s="63" t="str">
        <f t="shared" ref="AI8:AI47" si="5">IF(COUNTA(Y8:AA8)=0,"",
   IF(COUNTIF(Y8:AA8,3)=0,"Previo al Inicio",
      IF(COUNTIF(Y8:AA8,3)=1,"Inicio",
         IF(COUNTIF(Y8:AA8,3)=2,"Proceso",
            IF(COUNTIF(Y8:AA8,3)=3,"Logrado","")))))</f>
        <v>Previo al Inicio</v>
      </c>
      <c r="AJ8" s="70" t="str">
        <f t="shared" ref="AJ8:AJ47" si="6">IF(COUNTA(C8:AA8)=0,"",
   IF(COUNTIF(C8:AA8,3)&lt;=6,"Previo al Inicio",
      IF(COUNTIF(C8:AA8,3)&lt;=13,"Inicio",
         IF(COUNTIF(C8:AA8,3)&lt;=20,"Proceso",
            IF(COUNTIF(C8:AA8,3)&lt;=25,"Logrado","")))))</f>
        <v>Inicio</v>
      </c>
      <c r="AK8" s="1"/>
      <c r="AL8" s="1"/>
      <c r="AM8" s="1"/>
      <c r="AN8" s="1"/>
    </row>
    <row r="9" spans="1:40" ht="20.100000000000001" customHeight="1" x14ac:dyDescent="0.3">
      <c r="A9" s="33">
        <v>2</v>
      </c>
      <c r="B9" s="34"/>
      <c r="C9" s="35"/>
      <c r="D9" s="36"/>
      <c r="E9" s="36"/>
      <c r="F9" s="36"/>
      <c r="G9" s="36"/>
      <c r="H9" s="36"/>
      <c r="I9" s="36"/>
      <c r="J9" s="36"/>
      <c r="K9" s="36"/>
      <c r="L9" s="91"/>
      <c r="M9" s="35"/>
      <c r="N9" s="36"/>
      <c r="O9" s="36"/>
      <c r="P9" s="36"/>
      <c r="Q9" s="36"/>
      <c r="R9" s="91"/>
      <c r="S9" s="35"/>
      <c r="T9" s="36"/>
      <c r="U9" s="36"/>
      <c r="V9" s="36"/>
      <c r="W9" s="36"/>
      <c r="X9" s="91"/>
      <c r="Y9" s="35"/>
      <c r="Z9" s="36"/>
      <c r="AA9" s="91"/>
      <c r="AB9" s="66">
        <f t="shared" si="0"/>
        <v>0</v>
      </c>
      <c r="AC9" s="66">
        <f t="shared" ref="AC9:AC47" si="7">COUNTIF(C9:AA9,2)</f>
        <v>0</v>
      </c>
      <c r="AD9" s="67">
        <f t="shared" si="1"/>
        <v>0</v>
      </c>
      <c r="AE9" s="66">
        <f t="shared" si="2"/>
        <v>0</v>
      </c>
      <c r="AF9" s="65" t="str">
        <f t="shared" ref="AF9:AF47" si="8">IF(COUNTA(C9:L9)=0,"",
   IF(COUNTIF(C9:L9,3)&lt;=2,"Previo al Inicio",
      IF(COUNTIF(C9:L9,3)&lt;=5,"Inicio",
         IF(COUNTIF(C9:L9,3)&lt;=8,"Proceso",
            IF(COUNTIF(C9:L9,3)&lt;=10,"Logrado","")))))</f>
        <v/>
      </c>
      <c r="AG9" s="62" t="str">
        <f t="shared" si="3"/>
        <v/>
      </c>
      <c r="AH9" s="68" t="str">
        <f t="shared" si="4"/>
        <v/>
      </c>
      <c r="AI9" s="62" t="str">
        <f t="shared" si="5"/>
        <v/>
      </c>
      <c r="AJ9" s="70" t="str">
        <f t="shared" si="6"/>
        <v/>
      </c>
      <c r="AK9" s="1"/>
      <c r="AL9" s="1"/>
      <c r="AM9" s="1"/>
      <c r="AN9" s="1"/>
    </row>
    <row r="10" spans="1:40" ht="20.100000000000001" customHeight="1" x14ac:dyDescent="0.3">
      <c r="A10" s="27">
        <v>3</v>
      </c>
      <c r="B10" s="38"/>
      <c r="C10" s="39"/>
      <c r="D10" s="40"/>
      <c r="E10" s="40"/>
      <c r="F10" s="40"/>
      <c r="G10" s="40"/>
      <c r="H10" s="40"/>
      <c r="I10" s="40"/>
      <c r="J10" s="40"/>
      <c r="K10" s="40"/>
      <c r="L10" s="92"/>
      <c r="M10" s="39">
        <v>3</v>
      </c>
      <c r="N10" s="40">
        <v>3</v>
      </c>
      <c r="O10" s="40">
        <v>3</v>
      </c>
      <c r="P10" s="40">
        <v>3</v>
      </c>
      <c r="Q10" s="40">
        <v>3</v>
      </c>
      <c r="R10" s="92"/>
      <c r="S10" s="39">
        <v>3</v>
      </c>
      <c r="T10" s="40">
        <v>2</v>
      </c>
      <c r="U10" s="40">
        <v>1</v>
      </c>
      <c r="V10" s="40">
        <v>3</v>
      </c>
      <c r="W10" s="40">
        <v>3</v>
      </c>
      <c r="X10" s="92">
        <v>3</v>
      </c>
      <c r="Y10" s="39">
        <v>3</v>
      </c>
      <c r="Z10" s="40">
        <v>3</v>
      </c>
      <c r="AA10" s="92"/>
      <c r="AB10" s="62">
        <f t="shared" si="0"/>
        <v>11</v>
      </c>
      <c r="AC10" s="62">
        <f t="shared" si="7"/>
        <v>1</v>
      </c>
      <c r="AD10" s="68">
        <f t="shared" si="1"/>
        <v>1</v>
      </c>
      <c r="AE10" s="62">
        <f t="shared" si="2"/>
        <v>0</v>
      </c>
      <c r="AF10" s="65" t="str">
        <f t="shared" si="8"/>
        <v/>
      </c>
      <c r="AG10" s="62" t="str">
        <f t="shared" si="3"/>
        <v>Proceso</v>
      </c>
      <c r="AH10" s="68" t="str">
        <f t="shared" si="4"/>
        <v>Proceso</v>
      </c>
      <c r="AI10" s="62" t="str">
        <f t="shared" si="5"/>
        <v>Proceso</v>
      </c>
      <c r="AJ10" s="70" t="str">
        <f t="shared" si="6"/>
        <v>Inicio</v>
      </c>
      <c r="AK10" s="1"/>
      <c r="AL10" s="1"/>
      <c r="AM10" s="1"/>
      <c r="AN10" s="1"/>
    </row>
    <row r="11" spans="1:40" ht="20.100000000000001" customHeight="1" x14ac:dyDescent="0.3">
      <c r="A11" s="33">
        <v>4</v>
      </c>
      <c r="B11" s="34"/>
      <c r="C11" s="35"/>
      <c r="D11" s="36"/>
      <c r="E11" s="36"/>
      <c r="F11" s="36"/>
      <c r="G11" s="36"/>
      <c r="H11" s="36"/>
      <c r="I11" s="36"/>
      <c r="J11" s="36"/>
      <c r="K11" s="36"/>
      <c r="L11" s="91"/>
      <c r="M11" s="35"/>
      <c r="N11" s="36"/>
      <c r="O11" s="36"/>
      <c r="P11" s="36"/>
      <c r="Q11" s="36"/>
      <c r="R11" s="91"/>
      <c r="S11" s="35"/>
      <c r="T11" s="36"/>
      <c r="U11" s="36"/>
      <c r="V11" s="36"/>
      <c r="W11" s="36"/>
      <c r="X11" s="91"/>
      <c r="Y11" s="35"/>
      <c r="Z11" s="36"/>
      <c r="AA11" s="91"/>
      <c r="AB11" s="66">
        <f t="shared" si="0"/>
        <v>0</v>
      </c>
      <c r="AC11" s="66">
        <f t="shared" si="7"/>
        <v>0</v>
      </c>
      <c r="AD11" s="67">
        <f t="shared" si="1"/>
        <v>0</v>
      </c>
      <c r="AE11" s="66">
        <f t="shared" si="2"/>
        <v>0</v>
      </c>
      <c r="AF11" s="65" t="str">
        <f t="shared" si="8"/>
        <v/>
      </c>
      <c r="AG11" s="62" t="str">
        <f t="shared" si="3"/>
        <v/>
      </c>
      <c r="AH11" s="68" t="str">
        <f t="shared" si="4"/>
        <v/>
      </c>
      <c r="AI11" s="62" t="str">
        <f t="shared" si="5"/>
        <v/>
      </c>
      <c r="AJ11" s="70" t="str">
        <f t="shared" si="6"/>
        <v/>
      </c>
      <c r="AK11" s="1"/>
      <c r="AL11" s="1"/>
      <c r="AM11" s="1"/>
      <c r="AN11" s="1"/>
    </row>
    <row r="12" spans="1:40" ht="20.100000000000001" customHeight="1" x14ac:dyDescent="0.3">
      <c r="A12" s="27">
        <v>5</v>
      </c>
      <c r="B12" s="38"/>
      <c r="C12" s="39"/>
      <c r="D12" s="40"/>
      <c r="E12" s="40"/>
      <c r="F12" s="40"/>
      <c r="G12" s="40"/>
      <c r="H12" s="40"/>
      <c r="I12" s="40"/>
      <c r="J12" s="40"/>
      <c r="K12" s="40"/>
      <c r="L12" s="92"/>
      <c r="M12" s="39"/>
      <c r="N12" s="40"/>
      <c r="O12" s="40"/>
      <c r="P12" s="40"/>
      <c r="Q12" s="40"/>
      <c r="R12" s="92"/>
      <c r="S12" s="39"/>
      <c r="T12" s="40"/>
      <c r="U12" s="40"/>
      <c r="V12" s="40"/>
      <c r="W12" s="40"/>
      <c r="X12" s="92"/>
      <c r="Y12" s="39"/>
      <c r="Z12" s="40"/>
      <c r="AA12" s="92"/>
      <c r="AB12" s="62">
        <f t="shared" ref="AB12:AB44" si="9">COUNTIF(C12:AA12,3)</f>
        <v>0</v>
      </c>
      <c r="AC12" s="62">
        <f>COUNTIF(C12:AA12,2)</f>
        <v>0</v>
      </c>
      <c r="AD12" s="68">
        <f t="shared" ref="AD12:AD13" si="10">COUNTIF(C12:AA12,1)</f>
        <v>0</v>
      </c>
      <c r="AE12" s="62">
        <f t="shared" si="2"/>
        <v>0</v>
      </c>
      <c r="AF12" s="65" t="str">
        <f t="shared" si="8"/>
        <v/>
      </c>
      <c r="AG12" s="62" t="str">
        <f t="shared" si="3"/>
        <v/>
      </c>
      <c r="AH12" s="68" t="str">
        <f t="shared" si="4"/>
        <v/>
      </c>
      <c r="AI12" s="62" t="str">
        <f t="shared" si="5"/>
        <v/>
      </c>
      <c r="AJ12" s="70" t="str">
        <f t="shared" si="6"/>
        <v/>
      </c>
      <c r="AK12" s="1"/>
      <c r="AL12" s="1"/>
      <c r="AM12" s="1"/>
      <c r="AN12" s="1"/>
    </row>
    <row r="13" spans="1:40" ht="20.100000000000001" customHeight="1" x14ac:dyDescent="0.3">
      <c r="A13" s="33">
        <v>6</v>
      </c>
      <c r="B13" s="34"/>
      <c r="C13" s="35"/>
      <c r="D13" s="36"/>
      <c r="E13" s="36"/>
      <c r="F13" s="36"/>
      <c r="G13" s="36"/>
      <c r="H13" s="36"/>
      <c r="I13" s="36"/>
      <c r="J13" s="36"/>
      <c r="K13" s="36"/>
      <c r="L13" s="91"/>
      <c r="M13" s="35"/>
      <c r="N13" s="36"/>
      <c r="O13" s="36"/>
      <c r="P13" s="36"/>
      <c r="Q13" s="36"/>
      <c r="R13" s="91"/>
      <c r="S13" s="35"/>
      <c r="T13" s="36"/>
      <c r="U13" s="36"/>
      <c r="V13" s="36"/>
      <c r="W13" s="36"/>
      <c r="X13" s="91"/>
      <c r="Y13" s="35"/>
      <c r="Z13" s="36"/>
      <c r="AA13" s="91"/>
      <c r="AB13" s="66">
        <f t="shared" si="9"/>
        <v>0</v>
      </c>
      <c r="AC13" s="66">
        <f t="shared" si="7"/>
        <v>0</v>
      </c>
      <c r="AD13" s="67">
        <f t="shared" si="10"/>
        <v>0</v>
      </c>
      <c r="AE13" s="66">
        <f t="shared" si="2"/>
        <v>0</v>
      </c>
      <c r="AF13" s="65" t="str">
        <f t="shared" si="8"/>
        <v/>
      </c>
      <c r="AG13" s="62" t="str">
        <f t="shared" si="3"/>
        <v/>
      </c>
      <c r="AH13" s="68" t="str">
        <f t="shared" si="4"/>
        <v/>
      </c>
      <c r="AI13" s="62" t="str">
        <f t="shared" si="5"/>
        <v/>
      </c>
      <c r="AJ13" s="70" t="str">
        <f t="shared" si="6"/>
        <v/>
      </c>
      <c r="AK13" s="1"/>
      <c r="AL13" s="1"/>
      <c r="AM13" s="1"/>
      <c r="AN13" s="1"/>
    </row>
    <row r="14" spans="1:40" ht="20.100000000000001" customHeight="1" x14ac:dyDescent="0.3">
      <c r="A14" s="27">
        <v>7</v>
      </c>
      <c r="B14" s="38"/>
      <c r="C14" s="39"/>
      <c r="D14" s="40"/>
      <c r="E14" s="40"/>
      <c r="F14" s="40"/>
      <c r="G14" s="40"/>
      <c r="H14" s="40"/>
      <c r="I14" s="40"/>
      <c r="J14" s="40"/>
      <c r="K14" s="40"/>
      <c r="L14" s="92"/>
      <c r="M14" s="39"/>
      <c r="N14" s="40"/>
      <c r="O14" s="40"/>
      <c r="P14" s="40"/>
      <c r="Q14" s="40"/>
      <c r="R14" s="92"/>
      <c r="S14" s="39"/>
      <c r="T14" s="40"/>
      <c r="U14" s="40"/>
      <c r="V14" s="40"/>
      <c r="W14" s="40"/>
      <c r="X14" s="92"/>
      <c r="Y14" s="39"/>
      <c r="Z14" s="40"/>
      <c r="AA14" s="92"/>
      <c r="AB14" s="62">
        <f t="shared" si="9"/>
        <v>0</v>
      </c>
      <c r="AC14" s="62">
        <f t="shared" si="7"/>
        <v>0</v>
      </c>
      <c r="AD14" s="68">
        <f t="shared" ref="AD14:AD19" si="11">COUNTIF(C14:AA14,1)</f>
        <v>0</v>
      </c>
      <c r="AE14" s="62">
        <f t="shared" si="2"/>
        <v>0</v>
      </c>
      <c r="AF14" s="65" t="str">
        <f t="shared" si="8"/>
        <v/>
      </c>
      <c r="AG14" s="62" t="str">
        <f t="shared" si="3"/>
        <v/>
      </c>
      <c r="AH14" s="68" t="str">
        <f t="shared" si="4"/>
        <v/>
      </c>
      <c r="AI14" s="62" t="str">
        <f t="shared" si="5"/>
        <v/>
      </c>
      <c r="AJ14" s="70" t="str">
        <f t="shared" si="6"/>
        <v/>
      </c>
      <c r="AK14" s="1"/>
      <c r="AL14" s="1"/>
      <c r="AM14" s="1"/>
      <c r="AN14" s="1"/>
    </row>
    <row r="15" spans="1:40" ht="20.100000000000001" customHeight="1" x14ac:dyDescent="0.3">
      <c r="A15" s="33">
        <v>8</v>
      </c>
      <c r="B15" s="34"/>
      <c r="C15" s="35"/>
      <c r="D15" s="36"/>
      <c r="E15" s="36"/>
      <c r="F15" s="36"/>
      <c r="G15" s="36"/>
      <c r="H15" s="36"/>
      <c r="I15" s="36"/>
      <c r="J15" s="36"/>
      <c r="K15" s="36"/>
      <c r="L15" s="91"/>
      <c r="M15" s="35"/>
      <c r="N15" s="36"/>
      <c r="O15" s="36"/>
      <c r="P15" s="36"/>
      <c r="Q15" s="36"/>
      <c r="R15" s="91"/>
      <c r="S15" s="35"/>
      <c r="T15" s="36"/>
      <c r="U15" s="36"/>
      <c r="V15" s="36"/>
      <c r="W15" s="36"/>
      <c r="X15" s="91"/>
      <c r="Y15" s="35"/>
      <c r="Z15" s="36"/>
      <c r="AA15" s="91"/>
      <c r="AB15" s="66">
        <f t="shared" si="9"/>
        <v>0</v>
      </c>
      <c r="AC15" s="66">
        <f t="shared" si="7"/>
        <v>0</v>
      </c>
      <c r="AD15" s="67">
        <f t="shared" si="11"/>
        <v>0</v>
      </c>
      <c r="AE15" s="66">
        <f t="shared" si="2"/>
        <v>0</v>
      </c>
      <c r="AF15" s="65" t="str">
        <f t="shared" si="8"/>
        <v/>
      </c>
      <c r="AG15" s="62" t="str">
        <f t="shared" si="3"/>
        <v/>
      </c>
      <c r="AH15" s="68" t="str">
        <f t="shared" si="4"/>
        <v/>
      </c>
      <c r="AI15" s="62" t="str">
        <f t="shared" si="5"/>
        <v/>
      </c>
      <c r="AJ15" s="70" t="str">
        <f t="shared" si="6"/>
        <v/>
      </c>
      <c r="AK15" s="1"/>
      <c r="AL15" s="1"/>
      <c r="AM15" s="1"/>
      <c r="AN15" s="1"/>
    </row>
    <row r="16" spans="1:40" ht="20.100000000000001" customHeight="1" x14ac:dyDescent="0.3">
      <c r="A16" s="27">
        <v>9</v>
      </c>
      <c r="B16" s="38"/>
      <c r="C16" s="39"/>
      <c r="D16" s="40"/>
      <c r="E16" s="40"/>
      <c r="F16" s="40"/>
      <c r="G16" s="40"/>
      <c r="H16" s="40"/>
      <c r="I16" s="40"/>
      <c r="J16" s="40"/>
      <c r="K16" s="40"/>
      <c r="L16" s="92"/>
      <c r="M16" s="39"/>
      <c r="N16" s="40"/>
      <c r="O16" s="40"/>
      <c r="P16" s="40"/>
      <c r="Q16" s="40"/>
      <c r="R16" s="92"/>
      <c r="S16" s="39"/>
      <c r="T16" s="40"/>
      <c r="U16" s="40"/>
      <c r="V16" s="40"/>
      <c r="W16" s="40"/>
      <c r="X16" s="92"/>
      <c r="Y16" s="39"/>
      <c r="Z16" s="40"/>
      <c r="AA16" s="92"/>
      <c r="AB16" s="62">
        <f t="shared" si="9"/>
        <v>0</v>
      </c>
      <c r="AC16" s="62">
        <f t="shared" si="7"/>
        <v>0</v>
      </c>
      <c r="AD16" s="68">
        <f t="shared" si="11"/>
        <v>0</v>
      </c>
      <c r="AE16" s="62">
        <f t="shared" si="2"/>
        <v>0</v>
      </c>
      <c r="AF16" s="65" t="str">
        <f t="shared" si="8"/>
        <v/>
      </c>
      <c r="AG16" s="62" t="str">
        <f t="shared" si="3"/>
        <v/>
      </c>
      <c r="AH16" s="68" t="str">
        <f t="shared" si="4"/>
        <v/>
      </c>
      <c r="AI16" s="62" t="str">
        <f t="shared" si="5"/>
        <v/>
      </c>
      <c r="AJ16" s="70" t="str">
        <f t="shared" si="6"/>
        <v/>
      </c>
      <c r="AK16" s="1"/>
      <c r="AL16" s="1"/>
      <c r="AM16" s="1"/>
      <c r="AN16" s="1"/>
    </row>
    <row r="17" spans="1:40" ht="20.100000000000001" customHeight="1" x14ac:dyDescent="0.3">
      <c r="A17" s="33">
        <v>10</v>
      </c>
      <c r="B17" s="34"/>
      <c r="C17" s="35"/>
      <c r="D17" s="36"/>
      <c r="E17" s="36"/>
      <c r="F17" s="36"/>
      <c r="G17" s="36"/>
      <c r="H17" s="36"/>
      <c r="I17" s="36"/>
      <c r="J17" s="36"/>
      <c r="K17" s="36"/>
      <c r="L17" s="91"/>
      <c r="M17" s="35"/>
      <c r="N17" s="36"/>
      <c r="O17" s="36"/>
      <c r="P17" s="36"/>
      <c r="Q17" s="36"/>
      <c r="R17" s="91"/>
      <c r="S17" s="35"/>
      <c r="T17" s="36"/>
      <c r="U17" s="36"/>
      <c r="V17" s="36"/>
      <c r="W17" s="36"/>
      <c r="X17" s="91"/>
      <c r="Y17" s="35"/>
      <c r="Z17" s="36"/>
      <c r="AA17" s="91"/>
      <c r="AB17" s="66">
        <f t="shared" si="9"/>
        <v>0</v>
      </c>
      <c r="AC17" s="66">
        <f t="shared" si="7"/>
        <v>0</v>
      </c>
      <c r="AD17" s="67">
        <f t="shared" si="11"/>
        <v>0</v>
      </c>
      <c r="AE17" s="66">
        <f t="shared" si="2"/>
        <v>0</v>
      </c>
      <c r="AF17" s="65" t="str">
        <f t="shared" si="8"/>
        <v/>
      </c>
      <c r="AG17" s="62" t="str">
        <f t="shared" si="3"/>
        <v/>
      </c>
      <c r="AH17" s="68" t="str">
        <f t="shared" si="4"/>
        <v/>
      </c>
      <c r="AI17" s="62" t="str">
        <f t="shared" si="5"/>
        <v/>
      </c>
      <c r="AJ17" s="70" t="str">
        <f t="shared" si="6"/>
        <v/>
      </c>
      <c r="AK17" s="1"/>
      <c r="AL17" s="1"/>
      <c r="AM17" s="1"/>
      <c r="AN17" s="1"/>
    </row>
    <row r="18" spans="1:40" ht="20.100000000000001" customHeight="1" x14ac:dyDescent="0.3">
      <c r="A18" s="27">
        <v>11</v>
      </c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92"/>
      <c r="M18" s="39"/>
      <c r="N18" s="40"/>
      <c r="O18" s="40"/>
      <c r="P18" s="40"/>
      <c r="Q18" s="40"/>
      <c r="R18" s="92"/>
      <c r="S18" s="39"/>
      <c r="T18" s="40"/>
      <c r="U18" s="40"/>
      <c r="V18" s="40"/>
      <c r="W18" s="40"/>
      <c r="X18" s="92"/>
      <c r="Y18" s="39"/>
      <c r="Z18" s="40"/>
      <c r="AA18" s="92"/>
      <c r="AB18" s="62">
        <f t="shared" ref="AB18:AB19" si="12">COUNTIF(C18:AA18,3)</f>
        <v>0</v>
      </c>
      <c r="AC18" s="62">
        <f>COUNTIF(C18:AA18,2)</f>
        <v>0</v>
      </c>
      <c r="AD18" s="68">
        <f t="shared" si="11"/>
        <v>0</v>
      </c>
      <c r="AE18" s="62">
        <f t="shared" si="2"/>
        <v>0</v>
      </c>
      <c r="AF18" s="65" t="str">
        <f t="shared" si="8"/>
        <v/>
      </c>
      <c r="AG18" s="62" t="str">
        <f t="shared" si="3"/>
        <v/>
      </c>
      <c r="AH18" s="68" t="str">
        <f t="shared" si="4"/>
        <v/>
      </c>
      <c r="AI18" s="62" t="str">
        <f t="shared" si="5"/>
        <v/>
      </c>
      <c r="AJ18" s="70" t="str">
        <f t="shared" si="6"/>
        <v/>
      </c>
      <c r="AK18" s="1"/>
      <c r="AL18" s="1"/>
      <c r="AM18" s="1"/>
      <c r="AN18" s="1"/>
    </row>
    <row r="19" spans="1:40" ht="20.100000000000001" customHeight="1" x14ac:dyDescent="0.3">
      <c r="A19" s="33">
        <v>12</v>
      </c>
      <c r="B19" s="34"/>
      <c r="C19" s="35"/>
      <c r="D19" s="36"/>
      <c r="E19" s="36"/>
      <c r="F19" s="36"/>
      <c r="G19" s="36"/>
      <c r="H19" s="36"/>
      <c r="I19" s="36"/>
      <c r="J19" s="36"/>
      <c r="K19" s="36"/>
      <c r="L19" s="91"/>
      <c r="M19" s="35"/>
      <c r="N19" s="36"/>
      <c r="O19" s="36"/>
      <c r="P19" s="36"/>
      <c r="Q19" s="36"/>
      <c r="R19" s="91"/>
      <c r="S19" s="35"/>
      <c r="T19" s="36"/>
      <c r="U19" s="36"/>
      <c r="V19" s="36"/>
      <c r="W19" s="36"/>
      <c r="X19" s="91"/>
      <c r="Y19" s="35"/>
      <c r="Z19" s="36"/>
      <c r="AA19" s="91"/>
      <c r="AB19" s="66">
        <f t="shared" si="12"/>
        <v>0</v>
      </c>
      <c r="AC19" s="66">
        <f t="shared" si="7"/>
        <v>0</v>
      </c>
      <c r="AD19" s="67">
        <f t="shared" si="11"/>
        <v>0</v>
      </c>
      <c r="AE19" s="66">
        <f t="shared" si="2"/>
        <v>0</v>
      </c>
      <c r="AF19" s="65" t="str">
        <f t="shared" si="8"/>
        <v/>
      </c>
      <c r="AG19" s="62" t="str">
        <f t="shared" si="3"/>
        <v/>
      </c>
      <c r="AH19" s="68" t="str">
        <f t="shared" si="4"/>
        <v/>
      </c>
      <c r="AI19" s="62" t="str">
        <f t="shared" si="5"/>
        <v/>
      </c>
      <c r="AJ19" s="70" t="str">
        <f t="shared" si="6"/>
        <v/>
      </c>
      <c r="AK19" s="1"/>
      <c r="AL19" s="1"/>
      <c r="AM19" s="1"/>
      <c r="AN19" s="1"/>
    </row>
    <row r="20" spans="1:40" ht="20.100000000000001" customHeight="1" x14ac:dyDescent="0.3">
      <c r="A20" s="27">
        <v>13</v>
      </c>
      <c r="B20" s="38"/>
      <c r="C20" s="39"/>
      <c r="D20" s="40"/>
      <c r="E20" s="40"/>
      <c r="F20" s="40"/>
      <c r="G20" s="40"/>
      <c r="H20" s="40"/>
      <c r="I20" s="40"/>
      <c r="J20" s="40"/>
      <c r="K20" s="40"/>
      <c r="L20" s="92"/>
      <c r="M20" s="39"/>
      <c r="N20" s="40"/>
      <c r="O20" s="40"/>
      <c r="P20" s="40"/>
      <c r="Q20" s="40"/>
      <c r="R20" s="92"/>
      <c r="S20" s="39"/>
      <c r="T20" s="40"/>
      <c r="U20" s="40"/>
      <c r="V20" s="40"/>
      <c r="W20" s="40"/>
      <c r="X20" s="92"/>
      <c r="Y20" s="39"/>
      <c r="Z20" s="40"/>
      <c r="AA20" s="92"/>
      <c r="AB20" s="62">
        <f t="shared" si="9"/>
        <v>0</v>
      </c>
      <c r="AC20" s="62">
        <f t="shared" si="7"/>
        <v>0</v>
      </c>
      <c r="AD20" s="68">
        <f t="shared" ref="AD20:AD44" si="13">COUNTIF(C20:AA20,1)</f>
        <v>0</v>
      </c>
      <c r="AE20" s="62">
        <f t="shared" si="2"/>
        <v>0</v>
      </c>
      <c r="AF20" s="65" t="str">
        <f t="shared" si="8"/>
        <v/>
      </c>
      <c r="AG20" s="62" t="str">
        <f t="shared" si="3"/>
        <v/>
      </c>
      <c r="AH20" s="68" t="str">
        <f t="shared" si="4"/>
        <v/>
      </c>
      <c r="AI20" s="62" t="str">
        <f t="shared" si="5"/>
        <v/>
      </c>
      <c r="AJ20" s="70" t="str">
        <f t="shared" si="6"/>
        <v/>
      </c>
      <c r="AK20" s="1"/>
      <c r="AL20" s="1"/>
      <c r="AM20" s="1"/>
      <c r="AN20" s="1"/>
    </row>
    <row r="21" spans="1:40" ht="20.100000000000001" customHeight="1" x14ac:dyDescent="0.3">
      <c r="A21" s="33">
        <v>14</v>
      </c>
      <c r="B21" s="34"/>
      <c r="C21" s="35"/>
      <c r="D21" s="36"/>
      <c r="E21" s="36"/>
      <c r="F21" s="36"/>
      <c r="G21" s="36"/>
      <c r="H21" s="36"/>
      <c r="I21" s="36"/>
      <c r="J21" s="36"/>
      <c r="K21" s="36"/>
      <c r="L21" s="91"/>
      <c r="M21" s="35"/>
      <c r="N21" s="36"/>
      <c r="O21" s="36"/>
      <c r="P21" s="36"/>
      <c r="Q21" s="36"/>
      <c r="R21" s="91"/>
      <c r="S21" s="35"/>
      <c r="T21" s="36"/>
      <c r="U21" s="36"/>
      <c r="V21" s="36"/>
      <c r="W21" s="36"/>
      <c r="X21" s="91"/>
      <c r="Y21" s="35"/>
      <c r="Z21" s="36"/>
      <c r="AA21" s="91"/>
      <c r="AB21" s="66">
        <f t="shared" si="9"/>
        <v>0</v>
      </c>
      <c r="AC21" s="66">
        <f t="shared" si="7"/>
        <v>0</v>
      </c>
      <c r="AD21" s="67">
        <f t="shared" si="13"/>
        <v>0</v>
      </c>
      <c r="AE21" s="66">
        <f t="shared" si="2"/>
        <v>0</v>
      </c>
      <c r="AF21" s="65" t="str">
        <f t="shared" si="8"/>
        <v/>
      </c>
      <c r="AG21" s="62" t="str">
        <f t="shared" si="3"/>
        <v/>
      </c>
      <c r="AH21" s="68" t="str">
        <f t="shared" si="4"/>
        <v/>
      </c>
      <c r="AI21" s="62" t="str">
        <f t="shared" si="5"/>
        <v/>
      </c>
      <c r="AJ21" s="70" t="str">
        <f t="shared" si="6"/>
        <v/>
      </c>
      <c r="AK21" s="1"/>
      <c r="AL21" s="1"/>
      <c r="AM21" s="1"/>
      <c r="AN21" s="1"/>
    </row>
    <row r="22" spans="1:40" ht="20.100000000000001" customHeight="1" x14ac:dyDescent="0.3">
      <c r="A22" s="27">
        <v>15</v>
      </c>
      <c r="B22" s="38"/>
      <c r="C22" s="39"/>
      <c r="D22" s="40"/>
      <c r="E22" s="40"/>
      <c r="F22" s="40"/>
      <c r="G22" s="40"/>
      <c r="H22" s="40"/>
      <c r="I22" s="40"/>
      <c r="J22" s="40"/>
      <c r="K22" s="40"/>
      <c r="L22" s="92"/>
      <c r="M22" s="39"/>
      <c r="N22" s="40"/>
      <c r="O22" s="40"/>
      <c r="P22" s="40"/>
      <c r="Q22" s="40"/>
      <c r="R22" s="92"/>
      <c r="S22" s="39"/>
      <c r="T22" s="40"/>
      <c r="U22" s="40"/>
      <c r="V22" s="40"/>
      <c r="W22" s="40"/>
      <c r="X22" s="92"/>
      <c r="Y22" s="39"/>
      <c r="Z22" s="40"/>
      <c r="AA22" s="92"/>
      <c r="AB22" s="62">
        <f t="shared" si="9"/>
        <v>0</v>
      </c>
      <c r="AC22" s="62">
        <f>COUNTIF(C22:AA22,2)</f>
        <v>0</v>
      </c>
      <c r="AD22" s="68">
        <f t="shared" si="13"/>
        <v>0</v>
      </c>
      <c r="AE22" s="62">
        <f t="shared" si="2"/>
        <v>0</v>
      </c>
      <c r="AF22" s="65" t="str">
        <f t="shared" si="8"/>
        <v/>
      </c>
      <c r="AG22" s="62" t="str">
        <f t="shared" si="3"/>
        <v/>
      </c>
      <c r="AH22" s="68" t="str">
        <f t="shared" si="4"/>
        <v/>
      </c>
      <c r="AI22" s="62" t="str">
        <f t="shared" si="5"/>
        <v/>
      </c>
      <c r="AJ22" s="70" t="str">
        <f t="shared" si="6"/>
        <v/>
      </c>
      <c r="AK22" s="1"/>
      <c r="AL22" s="1"/>
      <c r="AM22" s="1"/>
      <c r="AN22" s="1"/>
    </row>
    <row r="23" spans="1:40" ht="20.100000000000001" customHeight="1" x14ac:dyDescent="0.3">
      <c r="A23" s="33">
        <v>16</v>
      </c>
      <c r="B23" s="34"/>
      <c r="C23" s="35"/>
      <c r="D23" s="36"/>
      <c r="E23" s="36"/>
      <c r="F23" s="36"/>
      <c r="G23" s="36"/>
      <c r="H23" s="36"/>
      <c r="I23" s="36"/>
      <c r="J23" s="36"/>
      <c r="K23" s="36"/>
      <c r="L23" s="91"/>
      <c r="M23" s="35"/>
      <c r="N23" s="36"/>
      <c r="O23" s="36"/>
      <c r="P23" s="36"/>
      <c r="Q23" s="36"/>
      <c r="R23" s="91"/>
      <c r="S23" s="35"/>
      <c r="T23" s="36"/>
      <c r="U23" s="36"/>
      <c r="V23" s="36"/>
      <c r="W23" s="36"/>
      <c r="X23" s="91"/>
      <c r="Y23" s="35"/>
      <c r="Z23" s="36"/>
      <c r="AA23" s="91"/>
      <c r="AB23" s="66">
        <f t="shared" si="9"/>
        <v>0</v>
      </c>
      <c r="AC23" s="66">
        <f t="shared" si="7"/>
        <v>0</v>
      </c>
      <c r="AD23" s="67">
        <f t="shared" si="13"/>
        <v>0</v>
      </c>
      <c r="AE23" s="66">
        <f t="shared" si="2"/>
        <v>0</v>
      </c>
      <c r="AF23" s="65" t="str">
        <f t="shared" si="8"/>
        <v/>
      </c>
      <c r="AG23" s="62" t="str">
        <f t="shared" si="3"/>
        <v/>
      </c>
      <c r="AH23" s="68" t="str">
        <f t="shared" si="4"/>
        <v/>
      </c>
      <c r="AI23" s="62" t="str">
        <f t="shared" si="5"/>
        <v/>
      </c>
      <c r="AJ23" s="70" t="str">
        <f t="shared" si="6"/>
        <v/>
      </c>
      <c r="AK23" s="1"/>
      <c r="AL23" s="1"/>
      <c r="AM23" s="1"/>
      <c r="AN23" s="1" t="s">
        <v>30</v>
      </c>
    </row>
    <row r="24" spans="1:40" ht="20.100000000000001" customHeight="1" x14ac:dyDescent="0.3">
      <c r="A24" s="27">
        <v>17</v>
      </c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92"/>
      <c r="M24" s="39"/>
      <c r="N24" s="40"/>
      <c r="O24" s="40"/>
      <c r="P24" s="40"/>
      <c r="Q24" s="40"/>
      <c r="R24" s="92"/>
      <c r="S24" s="39"/>
      <c r="T24" s="40"/>
      <c r="U24" s="40"/>
      <c r="V24" s="40"/>
      <c r="W24" s="40"/>
      <c r="X24" s="92"/>
      <c r="Y24" s="39"/>
      <c r="Z24" s="40"/>
      <c r="AA24" s="92"/>
      <c r="AB24" s="62">
        <f t="shared" ref="AB24:AB25" si="14">COUNTIF(C24:AA24,3)</f>
        <v>0</v>
      </c>
      <c r="AC24" s="62">
        <f t="shared" si="7"/>
        <v>0</v>
      </c>
      <c r="AD24" s="68">
        <f t="shared" si="13"/>
        <v>0</v>
      </c>
      <c r="AE24" s="62">
        <f t="shared" si="2"/>
        <v>0</v>
      </c>
      <c r="AF24" s="65" t="str">
        <f t="shared" si="8"/>
        <v/>
      </c>
      <c r="AG24" s="62" t="str">
        <f t="shared" si="3"/>
        <v/>
      </c>
      <c r="AH24" s="68" t="str">
        <f t="shared" si="4"/>
        <v/>
      </c>
      <c r="AI24" s="62" t="str">
        <f t="shared" si="5"/>
        <v/>
      </c>
      <c r="AJ24" s="70" t="str">
        <f t="shared" si="6"/>
        <v/>
      </c>
      <c r="AK24" s="1"/>
      <c r="AL24" s="1"/>
      <c r="AM24" s="1"/>
      <c r="AN24" s="1"/>
    </row>
    <row r="25" spans="1:40" ht="20.100000000000001" customHeight="1" x14ac:dyDescent="0.3">
      <c r="A25" s="33">
        <v>18</v>
      </c>
      <c r="B25" s="34"/>
      <c r="C25" s="35"/>
      <c r="D25" s="36"/>
      <c r="E25" s="36"/>
      <c r="F25" s="36"/>
      <c r="G25" s="36"/>
      <c r="H25" s="36"/>
      <c r="I25" s="36"/>
      <c r="J25" s="36"/>
      <c r="K25" s="36"/>
      <c r="L25" s="91"/>
      <c r="M25" s="35"/>
      <c r="N25" s="36"/>
      <c r="O25" s="36"/>
      <c r="P25" s="36"/>
      <c r="Q25" s="36"/>
      <c r="R25" s="91"/>
      <c r="S25" s="35"/>
      <c r="T25" s="36"/>
      <c r="U25" s="36"/>
      <c r="V25" s="36"/>
      <c r="W25" s="36"/>
      <c r="X25" s="91"/>
      <c r="Y25" s="35"/>
      <c r="Z25" s="36"/>
      <c r="AA25" s="91"/>
      <c r="AB25" s="66">
        <f t="shared" si="14"/>
        <v>0</v>
      </c>
      <c r="AC25" s="66">
        <f t="shared" si="7"/>
        <v>0</v>
      </c>
      <c r="AD25" s="67">
        <f t="shared" si="13"/>
        <v>0</v>
      </c>
      <c r="AE25" s="66">
        <f t="shared" si="2"/>
        <v>0</v>
      </c>
      <c r="AF25" s="65" t="str">
        <f t="shared" si="8"/>
        <v/>
      </c>
      <c r="AG25" s="62" t="str">
        <f t="shared" si="3"/>
        <v/>
      </c>
      <c r="AH25" s="68" t="str">
        <f t="shared" si="4"/>
        <v/>
      </c>
      <c r="AI25" s="62" t="str">
        <f t="shared" si="5"/>
        <v/>
      </c>
      <c r="AJ25" s="70" t="str">
        <f t="shared" si="6"/>
        <v/>
      </c>
      <c r="AK25" s="1"/>
      <c r="AL25" s="1"/>
      <c r="AM25" s="1"/>
      <c r="AN25" s="1"/>
    </row>
    <row r="26" spans="1:40" ht="20.100000000000001" customHeight="1" x14ac:dyDescent="0.3">
      <c r="A26" s="27">
        <v>19</v>
      </c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92"/>
      <c r="M26" s="39"/>
      <c r="N26" s="40"/>
      <c r="O26" s="40"/>
      <c r="P26" s="40"/>
      <c r="Q26" s="40"/>
      <c r="R26" s="92"/>
      <c r="S26" s="39"/>
      <c r="T26" s="40"/>
      <c r="U26" s="40"/>
      <c r="V26" s="40"/>
      <c r="W26" s="40"/>
      <c r="X26" s="92"/>
      <c r="Y26" s="39"/>
      <c r="Z26" s="40"/>
      <c r="AA26" s="92"/>
      <c r="AB26" s="62">
        <f t="shared" si="9"/>
        <v>0</v>
      </c>
      <c r="AC26" s="62">
        <f>COUNTIF(C26:AA26,2)</f>
        <v>0</v>
      </c>
      <c r="AD26" s="68">
        <f t="shared" si="13"/>
        <v>0</v>
      </c>
      <c r="AE26" s="62">
        <f t="shared" si="2"/>
        <v>0</v>
      </c>
      <c r="AF26" s="65" t="str">
        <f t="shared" si="8"/>
        <v/>
      </c>
      <c r="AG26" s="62" t="str">
        <f t="shared" si="3"/>
        <v/>
      </c>
      <c r="AH26" s="68" t="str">
        <f t="shared" si="4"/>
        <v/>
      </c>
      <c r="AI26" s="62" t="str">
        <f t="shared" si="5"/>
        <v/>
      </c>
      <c r="AJ26" s="70" t="str">
        <f t="shared" si="6"/>
        <v/>
      </c>
      <c r="AK26" s="1"/>
      <c r="AL26" s="1"/>
      <c r="AM26" s="1"/>
      <c r="AN26" s="1"/>
    </row>
    <row r="27" spans="1:40" ht="20.100000000000001" customHeight="1" x14ac:dyDescent="0.3">
      <c r="A27" s="33">
        <v>20</v>
      </c>
      <c r="B27" s="34"/>
      <c r="C27" s="35"/>
      <c r="D27" s="36"/>
      <c r="E27" s="36"/>
      <c r="F27" s="36"/>
      <c r="G27" s="36"/>
      <c r="H27" s="36"/>
      <c r="I27" s="36"/>
      <c r="J27" s="36"/>
      <c r="K27" s="36"/>
      <c r="L27" s="91"/>
      <c r="M27" s="35"/>
      <c r="N27" s="36"/>
      <c r="O27" s="36"/>
      <c r="P27" s="36"/>
      <c r="Q27" s="36"/>
      <c r="R27" s="91"/>
      <c r="S27" s="35"/>
      <c r="T27" s="36"/>
      <c r="U27" s="36"/>
      <c r="V27" s="36"/>
      <c r="W27" s="36"/>
      <c r="X27" s="91"/>
      <c r="Y27" s="35"/>
      <c r="Z27" s="36"/>
      <c r="AA27" s="91"/>
      <c r="AB27" s="66">
        <f t="shared" si="9"/>
        <v>0</v>
      </c>
      <c r="AC27" s="66">
        <f t="shared" si="7"/>
        <v>0</v>
      </c>
      <c r="AD27" s="67">
        <f t="shared" si="13"/>
        <v>0</v>
      </c>
      <c r="AE27" s="66">
        <f t="shared" si="2"/>
        <v>0</v>
      </c>
      <c r="AF27" s="65" t="str">
        <f t="shared" si="8"/>
        <v/>
      </c>
      <c r="AG27" s="62" t="str">
        <f t="shared" si="3"/>
        <v/>
      </c>
      <c r="AH27" s="68" t="str">
        <f t="shared" si="4"/>
        <v/>
      </c>
      <c r="AI27" s="62" t="str">
        <f t="shared" si="5"/>
        <v/>
      </c>
      <c r="AJ27" s="70" t="str">
        <f t="shared" si="6"/>
        <v/>
      </c>
      <c r="AK27" s="1"/>
      <c r="AL27" s="1"/>
      <c r="AM27" s="1"/>
      <c r="AN27" s="1"/>
    </row>
    <row r="28" spans="1:40" ht="20.100000000000001" customHeight="1" x14ac:dyDescent="0.3">
      <c r="A28" s="27">
        <v>21</v>
      </c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92"/>
      <c r="M28" s="39"/>
      <c r="N28" s="40"/>
      <c r="O28" s="40"/>
      <c r="P28" s="40"/>
      <c r="Q28" s="40"/>
      <c r="R28" s="92"/>
      <c r="S28" s="39"/>
      <c r="T28" s="40"/>
      <c r="U28" s="40"/>
      <c r="V28" s="40"/>
      <c r="W28" s="40"/>
      <c r="X28" s="92"/>
      <c r="Y28" s="39"/>
      <c r="Z28" s="40"/>
      <c r="AA28" s="92"/>
      <c r="AB28" s="62">
        <f t="shared" si="9"/>
        <v>0</v>
      </c>
      <c r="AC28" s="62">
        <f t="shared" si="7"/>
        <v>0</v>
      </c>
      <c r="AD28" s="68">
        <f t="shared" si="13"/>
        <v>0</v>
      </c>
      <c r="AE28" s="62">
        <f t="shared" si="2"/>
        <v>0</v>
      </c>
      <c r="AF28" s="65" t="str">
        <f t="shared" si="8"/>
        <v/>
      </c>
      <c r="AG28" s="62" t="str">
        <f t="shared" si="3"/>
        <v/>
      </c>
      <c r="AH28" s="68" t="str">
        <f t="shared" si="4"/>
        <v/>
      </c>
      <c r="AI28" s="62" t="str">
        <f t="shared" si="5"/>
        <v/>
      </c>
      <c r="AJ28" s="70" t="str">
        <f t="shared" si="6"/>
        <v/>
      </c>
      <c r="AK28" s="1"/>
      <c r="AL28" s="1"/>
      <c r="AM28" s="1"/>
      <c r="AN28" s="1"/>
    </row>
    <row r="29" spans="1:40" ht="20.100000000000001" customHeight="1" x14ac:dyDescent="0.3">
      <c r="A29" s="33">
        <v>22</v>
      </c>
      <c r="B29" s="34"/>
      <c r="C29" s="35"/>
      <c r="D29" s="36"/>
      <c r="E29" s="36"/>
      <c r="F29" s="36"/>
      <c r="G29" s="36"/>
      <c r="H29" s="36"/>
      <c r="I29" s="36"/>
      <c r="J29" s="36"/>
      <c r="K29" s="36"/>
      <c r="L29" s="91"/>
      <c r="M29" s="35"/>
      <c r="N29" s="36"/>
      <c r="O29" s="36"/>
      <c r="P29" s="36"/>
      <c r="Q29" s="36"/>
      <c r="R29" s="91"/>
      <c r="S29" s="35"/>
      <c r="T29" s="36"/>
      <c r="U29" s="36"/>
      <c r="V29" s="36"/>
      <c r="W29" s="36"/>
      <c r="X29" s="91"/>
      <c r="Y29" s="35"/>
      <c r="Z29" s="36"/>
      <c r="AA29" s="91"/>
      <c r="AB29" s="66">
        <f t="shared" si="9"/>
        <v>0</v>
      </c>
      <c r="AC29" s="66">
        <f t="shared" si="7"/>
        <v>0</v>
      </c>
      <c r="AD29" s="67">
        <f t="shared" si="13"/>
        <v>0</v>
      </c>
      <c r="AE29" s="66">
        <f t="shared" si="2"/>
        <v>0</v>
      </c>
      <c r="AF29" s="65" t="str">
        <f t="shared" si="8"/>
        <v/>
      </c>
      <c r="AG29" s="62" t="str">
        <f t="shared" si="3"/>
        <v/>
      </c>
      <c r="AH29" s="68" t="str">
        <f t="shared" si="4"/>
        <v/>
      </c>
      <c r="AI29" s="62" t="str">
        <f t="shared" si="5"/>
        <v/>
      </c>
      <c r="AJ29" s="70" t="str">
        <f t="shared" si="6"/>
        <v/>
      </c>
      <c r="AK29" s="1"/>
      <c r="AL29" s="1"/>
      <c r="AM29" s="1"/>
      <c r="AN29" s="1"/>
    </row>
    <row r="30" spans="1:40" ht="20.100000000000001" customHeight="1" x14ac:dyDescent="0.3">
      <c r="A30" s="27">
        <v>23</v>
      </c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92"/>
      <c r="M30" s="39"/>
      <c r="N30" s="40"/>
      <c r="O30" s="40"/>
      <c r="P30" s="40"/>
      <c r="Q30" s="40"/>
      <c r="R30" s="92"/>
      <c r="S30" s="39"/>
      <c r="T30" s="40"/>
      <c r="U30" s="40"/>
      <c r="V30" s="40"/>
      <c r="W30" s="40"/>
      <c r="X30" s="92"/>
      <c r="Y30" s="39"/>
      <c r="Z30" s="40"/>
      <c r="AA30" s="92"/>
      <c r="AB30" s="62">
        <f t="shared" ref="AB30:AB31" si="15">COUNTIF(C30:AA30,3)</f>
        <v>0</v>
      </c>
      <c r="AC30" s="62">
        <f>COUNTIF(C30:AA30,2)</f>
        <v>0</v>
      </c>
      <c r="AD30" s="68">
        <f t="shared" si="13"/>
        <v>0</v>
      </c>
      <c r="AE30" s="62">
        <f t="shared" si="2"/>
        <v>0</v>
      </c>
      <c r="AF30" s="65" t="str">
        <f t="shared" si="8"/>
        <v/>
      </c>
      <c r="AG30" s="62" t="str">
        <f t="shared" si="3"/>
        <v/>
      </c>
      <c r="AH30" s="68" t="str">
        <f t="shared" si="4"/>
        <v/>
      </c>
      <c r="AI30" s="62" t="str">
        <f t="shared" si="5"/>
        <v/>
      </c>
      <c r="AJ30" s="70" t="str">
        <f t="shared" si="6"/>
        <v/>
      </c>
      <c r="AK30" s="1"/>
      <c r="AL30" s="1"/>
      <c r="AM30" s="1"/>
      <c r="AN30" s="1"/>
    </row>
    <row r="31" spans="1:40" ht="20.100000000000001" customHeight="1" x14ac:dyDescent="0.3">
      <c r="A31" s="33">
        <v>24</v>
      </c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91"/>
      <c r="M31" s="35"/>
      <c r="N31" s="36"/>
      <c r="O31" s="36"/>
      <c r="P31" s="36"/>
      <c r="Q31" s="36"/>
      <c r="R31" s="91"/>
      <c r="S31" s="35"/>
      <c r="T31" s="36"/>
      <c r="U31" s="36"/>
      <c r="V31" s="36"/>
      <c r="W31" s="36"/>
      <c r="X31" s="91"/>
      <c r="Y31" s="35"/>
      <c r="Z31" s="36"/>
      <c r="AA31" s="91"/>
      <c r="AB31" s="66">
        <f t="shared" si="15"/>
        <v>0</v>
      </c>
      <c r="AC31" s="66">
        <f t="shared" si="7"/>
        <v>0</v>
      </c>
      <c r="AD31" s="67">
        <f t="shared" si="13"/>
        <v>0</v>
      </c>
      <c r="AE31" s="66">
        <f t="shared" si="2"/>
        <v>0</v>
      </c>
      <c r="AF31" s="65" t="str">
        <f t="shared" si="8"/>
        <v/>
      </c>
      <c r="AG31" s="62" t="str">
        <f t="shared" si="3"/>
        <v/>
      </c>
      <c r="AH31" s="68" t="str">
        <f t="shared" si="4"/>
        <v/>
      </c>
      <c r="AI31" s="62" t="str">
        <f t="shared" si="5"/>
        <v/>
      </c>
      <c r="AJ31" s="70" t="str">
        <f t="shared" si="6"/>
        <v/>
      </c>
      <c r="AK31" s="1"/>
      <c r="AL31" s="1"/>
      <c r="AM31" s="1"/>
      <c r="AN31" s="1"/>
    </row>
    <row r="32" spans="1:40" ht="20.100000000000001" customHeight="1" x14ac:dyDescent="0.3">
      <c r="A32" s="27">
        <v>25</v>
      </c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92"/>
      <c r="M32" s="39"/>
      <c r="N32" s="40"/>
      <c r="O32" s="40"/>
      <c r="P32" s="40"/>
      <c r="Q32" s="40"/>
      <c r="R32" s="92"/>
      <c r="S32" s="39"/>
      <c r="T32" s="40"/>
      <c r="U32" s="40"/>
      <c r="V32" s="40"/>
      <c r="W32" s="40"/>
      <c r="X32" s="92"/>
      <c r="Y32" s="39"/>
      <c r="Z32" s="40"/>
      <c r="AA32" s="92"/>
      <c r="AB32" s="62">
        <f t="shared" si="9"/>
        <v>0</v>
      </c>
      <c r="AC32" s="62">
        <f t="shared" si="7"/>
        <v>0</v>
      </c>
      <c r="AD32" s="68">
        <f t="shared" si="13"/>
        <v>0</v>
      </c>
      <c r="AE32" s="62">
        <f t="shared" si="2"/>
        <v>0</v>
      </c>
      <c r="AF32" s="65" t="str">
        <f t="shared" si="8"/>
        <v/>
      </c>
      <c r="AG32" s="62" t="str">
        <f t="shared" si="3"/>
        <v/>
      </c>
      <c r="AH32" s="68" t="str">
        <f t="shared" si="4"/>
        <v/>
      </c>
      <c r="AI32" s="62" t="str">
        <f t="shared" si="5"/>
        <v/>
      </c>
      <c r="AJ32" s="70" t="str">
        <f t="shared" si="6"/>
        <v/>
      </c>
      <c r="AK32" s="1"/>
      <c r="AL32" s="1"/>
      <c r="AM32" s="1"/>
      <c r="AN32" s="1"/>
    </row>
    <row r="33" spans="1:40" ht="20.100000000000001" customHeight="1" x14ac:dyDescent="0.3">
      <c r="A33" s="33">
        <v>26</v>
      </c>
      <c r="B33" s="34"/>
      <c r="C33" s="35"/>
      <c r="D33" s="36"/>
      <c r="E33" s="36"/>
      <c r="F33" s="36"/>
      <c r="G33" s="36"/>
      <c r="H33" s="36"/>
      <c r="I33" s="36"/>
      <c r="J33" s="36"/>
      <c r="K33" s="36"/>
      <c r="L33" s="91"/>
      <c r="M33" s="35"/>
      <c r="N33" s="36"/>
      <c r="O33" s="36"/>
      <c r="P33" s="36"/>
      <c r="Q33" s="36"/>
      <c r="R33" s="91"/>
      <c r="S33" s="35"/>
      <c r="T33" s="36"/>
      <c r="U33" s="36"/>
      <c r="V33" s="36"/>
      <c r="W33" s="36"/>
      <c r="X33" s="91"/>
      <c r="Y33" s="35"/>
      <c r="Z33" s="36"/>
      <c r="AA33" s="91"/>
      <c r="AB33" s="66">
        <f t="shared" si="9"/>
        <v>0</v>
      </c>
      <c r="AC33" s="66">
        <f t="shared" si="7"/>
        <v>0</v>
      </c>
      <c r="AD33" s="67">
        <f t="shared" si="13"/>
        <v>0</v>
      </c>
      <c r="AE33" s="66">
        <f t="shared" si="2"/>
        <v>0</v>
      </c>
      <c r="AF33" s="65" t="str">
        <f t="shared" si="8"/>
        <v/>
      </c>
      <c r="AG33" s="62" t="str">
        <f t="shared" si="3"/>
        <v/>
      </c>
      <c r="AH33" s="68" t="str">
        <f t="shared" si="4"/>
        <v/>
      </c>
      <c r="AI33" s="62" t="str">
        <f t="shared" si="5"/>
        <v/>
      </c>
      <c r="AJ33" s="70" t="str">
        <f t="shared" si="6"/>
        <v/>
      </c>
      <c r="AK33" s="1"/>
      <c r="AL33" s="1"/>
      <c r="AM33" s="1"/>
      <c r="AN33" s="1"/>
    </row>
    <row r="34" spans="1:40" ht="20.100000000000001" customHeight="1" x14ac:dyDescent="0.3">
      <c r="A34" s="27">
        <v>27</v>
      </c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92"/>
      <c r="M34" s="39"/>
      <c r="N34" s="40"/>
      <c r="O34" s="40"/>
      <c r="P34" s="40"/>
      <c r="Q34" s="40"/>
      <c r="R34" s="92"/>
      <c r="S34" s="39"/>
      <c r="T34" s="40"/>
      <c r="U34" s="40"/>
      <c r="V34" s="40"/>
      <c r="W34" s="40"/>
      <c r="X34" s="92"/>
      <c r="Y34" s="39"/>
      <c r="Z34" s="40"/>
      <c r="AA34" s="92"/>
      <c r="AB34" s="62">
        <f t="shared" si="9"/>
        <v>0</v>
      </c>
      <c r="AC34" s="62">
        <f t="shared" si="7"/>
        <v>0</v>
      </c>
      <c r="AD34" s="68">
        <f t="shared" si="13"/>
        <v>0</v>
      </c>
      <c r="AE34" s="62">
        <f t="shared" si="2"/>
        <v>0</v>
      </c>
      <c r="AF34" s="65" t="str">
        <f t="shared" si="8"/>
        <v/>
      </c>
      <c r="AG34" s="62" t="str">
        <f t="shared" si="3"/>
        <v/>
      </c>
      <c r="AH34" s="68" t="str">
        <f t="shared" si="4"/>
        <v/>
      </c>
      <c r="AI34" s="62" t="str">
        <f t="shared" si="5"/>
        <v/>
      </c>
      <c r="AJ34" s="70" t="str">
        <f t="shared" si="6"/>
        <v/>
      </c>
      <c r="AK34" s="1"/>
      <c r="AL34" s="1"/>
      <c r="AM34" s="1"/>
      <c r="AN34" s="1"/>
    </row>
    <row r="35" spans="1:40" ht="20.100000000000001" customHeight="1" x14ac:dyDescent="0.3">
      <c r="A35" s="33">
        <v>28</v>
      </c>
      <c r="B35" s="34"/>
      <c r="C35" s="35"/>
      <c r="D35" s="36"/>
      <c r="E35" s="36"/>
      <c r="F35" s="36"/>
      <c r="G35" s="36"/>
      <c r="H35" s="36"/>
      <c r="I35" s="36"/>
      <c r="J35" s="36"/>
      <c r="K35" s="36"/>
      <c r="L35" s="91"/>
      <c r="M35" s="35"/>
      <c r="N35" s="36"/>
      <c r="O35" s="36"/>
      <c r="P35" s="36"/>
      <c r="Q35" s="36"/>
      <c r="R35" s="91"/>
      <c r="S35" s="35"/>
      <c r="T35" s="36"/>
      <c r="U35" s="36"/>
      <c r="V35" s="36"/>
      <c r="W35" s="36"/>
      <c r="X35" s="91"/>
      <c r="Y35" s="35"/>
      <c r="Z35" s="36"/>
      <c r="AA35" s="91"/>
      <c r="AB35" s="66">
        <f t="shared" si="9"/>
        <v>0</v>
      </c>
      <c r="AC35" s="66">
        <f t="shared" si="7"/>
        <v>0</v>
      </c>
      <c r="AD35" s="67">
        <f t="shared" si="13"/>
        <v>0</v>
      </c>
      <c r="AE35" s="66">
        <f t="shared" si="2"/>
        <v>0</v>
      </c>
      <c r="AF35" s="65" t="str">
        <f t="shared" si="8"/>
        <v/>
      </c>
      <c r="AG35" s="62" t="str">
        <f t="shared" si="3"/>
        <v/>
      </c>
      <c r="AH35" s="68" t="str">
        <f t="shared" si="4"/>
        <v/>
      </c>
      <c r="AI35" s="62" t="str">
        <f t="shared" si="5"/>
        <v/>
      </c>
      <c r="AJ35" s="70" t="str">
        <f t="shared" si="6"/>
        <v/>
      </c>
      <c r="AK35" s="1"/>
      <c r="AL35" s="1"/>
      <c r="AM35" s="1"/>
      <c r="AN35" s="1"/>
    </row>
    <row r="36" spans="1:40" ht="20.100000000000001" customHeight="1" x14ac:dyDescent="0.3">
      <c r="A36" s="27">
        <v>29</v>
      </c>
      <c r="B36" s="38"/>
      <c r="C36" s="39"/>
      <c r="D36" s="40"/>
      <c r="E36" s="40"/>
      <c r="F36" s="40"/>
      <c r="G36" s="40"/>
      <c r="H36" s="40"/>
      <c r="I36" s="40"/>
      <c r="J36" s="40"/>
      <c r="K36" s="40"/>
      <c r="L36" s="92"/>
      <c r="M36" s="39"/>
      <c r="N36" s="40"/>
      <c r="O36" s="40"/>
      <c r="P36" s="40"/>
      <c r="Q36" s="40"/>
      <c r="R36" s="92"/>
      <c r="S36" s="39"/>
      <c r="T36" s="40"/>
      <c r="U36" s="40"/>
      <c r="V36" s="40"/>
      <c r="W36" s="40"/>
      <c r="X36" s="92"/>
      <c r="Y36" s="39"/>
      <c r="Z36" s="40"/>
      <c r="AA36" s="92"/>
      <c r="AB36" s="62">
        <f t="shared" ref="AB36:AB37" si="16">COUNTIF(C36:AA36,3)</f>
        <v>0</v>
      </c>
      <c r="AC36" s="62">
        <f>COUNTIF(C36:AA36,2)</f>
        <v>0</v>
      </c>
      <c r="AD36" s="68">
        <f t="shared" si="13"/>
        <v>0</v>
      </c>
      <c r="AE36" s="62">
        <f t="shared" si="2"/>
        <v>0</v>
      </c>
      <c r="AF36" s="65" t="str">
        <f t="shared" si="8"/>
        <v/>
      </c>
      <c r="AG36" s="62" t="str">
        <f t="shared" si="3"/>
        <v/>
      </c>
      <c r="AH36" s="68" t="str">
        <f t="shared" si="4"/>
        <v/>
      </c>
      <c r="AI36" s="62" t="str">
        <f t="shared" si="5"/>
        <v/>
      </c>
      <c r="AJ36" s="70" t="str">
        <f t="shared" si="6"/>
        <v/>
      </c>
      <c r="AK36" s="1"/>
      <c r="AL36" s="1"/>
      <c r="AM36" s="1"/>
      <c r="AN36" s="1"/>
    </row>
    <row r="37" spans="1:40" ht="20.100000000000001" customHeight="1" x14ac:dyDescent="0.3">
      <c r="A37" s="33">
        <v>30</v>
      </c>
      <c r="B37" s="34"/>
      <c r="C37" s="35"/>
      <c r="D37" s="36"/>
      <c r="E37" s="36"/>
      <c r="F37" s="36"/>
      <c r="G37" s="36"/>
      <c r="H37" s="36"/>
      <c r="I37" s="36"/>
      <c r="J37" s="36"/>
      <c r="K37" s="36"/>
      <c r="L37" s="91"/>
      <c r="M37" s="35"/>
      <c r="N37" s="36"/>
      <c r="O37" s="36"/>
      <c r="P37" s="36"/>
      <c r="Q37" s="36"/>
      <c r="R37" s="91"/>
      <c r="S37" s="35"/>
      <c r="T37" s="36"/>
      <c r="U37" s="36"/>
      <c r="V37" s="36"/>
      <c r="W37" s="36"/>
      <c r="X37" s="91"/>
      <c r="Y37" s="35"/>
      <c r="Z37" s="36"/>
      <c r="AA37" s="91"/>
      <c r="AB37" s="66">
        <f t="shared" si="16"/>
        <v>0</v>
      </c>
      <c r="AC37" s="66">
        <f t="shared" si="7"/>
        <v>0</v>
      </c>
      <c r="AD37" s="67">
        <f t="shared" si="13"/>
        <v>0</v>
      </c>
      <c r="AE37" s="66">
        <f t="shared" si="2"/>
        <v>0</v>
      </c>
      <c r="AF37" s="65" t="str">
        <f t="shared" si="8"/>
        <v/>
      </c>
      <c r="AG37" s="62" t="str">
        <f t="shared" si="3"/>
        <v/>
      </c>
      <c r="AH37" s="68" t="str">
        <f t="shared" si="4"/>
        <v/>
      </c>
      <c r="AI37" s="62" t="str">
        <f t="shared" si="5"/>
        <v/>
      </c>
      <c r="AJ37" s="70" t="str">
        <f t="shared" si="6"/>
        <v/>
      </c>
      <c r="AK37" s="1"/>
      <c r="AL37" s="1"/>
      <c r="AM37" s="1"/>
      <c r="AN37" s="1"/>
    </row>
    <row r="38" spans="1:40" ht="20.100000000000001" customHeight="1" x14ac:dyDescent="0.3">
      <c r="A38" s="27">
        <v>31</v>
      </c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92"/>
      <c r="M38" s="39"/>
      <c r="N38" s="40"/>
      <c r="O38" s="40"/>
      <c r="P38" s="40"/>
      <c r="Q38" s="40"/>
      <c r="R38" s="92"/>
      <c r="S38" s="39"/>
      <c r="T38" s="40"/>
      <c r="U38" s="40"/>
      <c r="V38" s="40"/>
      <c r="W38" s="40"/>
      <c r="X38" s="92"/>
      <c r="Y38" s="39"/>
      <c r="Z38" s="40"/>
      <c r="AA38" s="92"/>
      <c r="AB38" s="62">
        <f t="shared" si="9"/>
        <v>0</v>
      </c>
      <c r="AC38" s="62">
        <f t="shared" si="7"/>
        <v>0</v>
      </c>
      <c r="AD38" s="68">
        <f t="shared" si="13"/>
        <v>0</v>
      </c>
      <c r="AE38" s="62">
        <f t="shared" si="2"/>
        <v>0</v>
      </c>
      <c r="AF38" s="65" t="str">
        <f t="shared" si="8"/>
        <v/>
      </c>
      <c r="AG38" s="62" t="str">
        <f t="shared" si="3"/>
        <v/>
      </c>
      <c r="AH38" s="68" t="str">
        <f t="shared" si="4"/>
        <v/>
      </c>
      <c r="AI38" s="62" t="str">
        <f t="shared" si="5"/>
        <v/>
      </c>
      <c r="AJ38" s="70" t="str">
        <f t="shared" si="6"/>
        <v/>
      </c>
      <c r="AK38" s="1"/>
      <c r="AL38" s="1"/>
      <c r="AM38" s="1"/>
      <c r="AN38" s="1"/>
    </row>
    <row r="39" spans="1:40" ht="20.100000000000001" customHeight="1" x14ac:dyDescent="0.3">
      <c r="A39" s="33">
        <v>32</v>
      </c>
      <c r="B39" s="34"/>
      <c r="C39" s="35"/>
      <c r="D39" s="36"/>
      <c r="E39" s="36"/>
      <c r="F39" s="36"/>
      <c r="G39" s="36"/>
      <c r="H39" s="36"/>
      <c r="I39" s="36"/>
      <c r="J39" s="36"/>
      <c r="K39" s="36"/>
      <c r="L39" s="91"/>
      <c r="M39" s="35"/>
      <c r="N39" s="36"/>
      <c r="O39" s="36"/>
      <c r="P39" s="36"/>
      <c r="Q39" s="36"/>
      <c r="R39" s="91"/>
      <c r="S39" s="35"/>
      <c r="T39" s="36"/>
      <c r="U39" s="36"/>
      <c r="V39" s="36"/>
      <c r="W39" s="36"/>
      <c r="X39" s="91"/>
      <c r="Y39" s="35"/>
      <c r="Z39" s="36"/>
      <c r="AA39" s="91"/>
      <c r="AB39" s="66">
        <f t="shared" si="9"/>
        <v>0</v>
      </c>
      <c r="AC39" s="66">
        <f t="shared" si="7"/>
        <v>0</v>
      </c>
      <c r="AD39" s="67">
        <f t="shared" si="13"/>
        <v>0</v>
      </c>
      <c r="AE39" s="66">
        <f t="shared" si="2"/>
        <v>0</v>
      </c>
      <c r="AF39" s="65" t="str">
        <f t="shared" si="8"/>
        <v/>
      </c>
      <c r="AG39" s="62" t="str">
        <f t="shared" si="3"/>
        <v/>
      </c>
      <c r="AH39" s="68" t="str">
        <f t="shared" si="4"/>
        <v/>
      </c>
      <c r="AI39" s="62" t="str">
        <f t="shared" si="5"/>
        <v/>
      </c>
      <c r="AJ39" s="70" t="str">
        <f t="shared" si="6"/>
        <v/>
      </c>
      <c r="AK39" s="1"/>
      <c r="AL39" s="1"/>
      <c r="AM39" s="1"/>
      <c r="AN39" s="1"/>
    </row>
    <row r="40" spans="1:40" ht="20.100000000000001" customHeight="1" x14ac:dyDescent="0.3">
      <c r="A40" s="27">
        <v>33</v>
      </c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92"/>
      <c r="M40" s="39"/>
      <c r="N40" s="40"/>
      <c r="O40" s="40"/>
      <c r="P40" s="40"/>
      <c r="Q40" s="40"/>
      <c r="R40" s="92"/>
      <c r="S40" s="39"/>
      <c r="T40" s="40"/>
      <c r="U40" s="40"/>
      <c r="V40" s="40"/>
      <c r="W40" s="40"/>
      <c r="X40" s="92"/>
      <c r="Y40" s="39"/>
      <c r="Z40" s="40"/>
      <c r="AA40" s="92"/>
      <c r="AB40" s="62">
        <f t="shared" si="9"/>
        <v>0</v>
      </c>
      <c r="AC40" s="62">
        <f>COUNTIF(C40:AA40,2)</f>
        <v>0</v>
      </c>
      <c r="AD40" s="68">
        <f t="shared" si="13"/>
        <v>0</v>
      </c>
      <c r="AE40" s="62">
        <f t="shared" si="2"/>
        <v>0</v>
      </c>
      <c r="AF40" s="65" t="str">
        <f t="shared" si="8"/>
        <v/>
      </c>
      <c r="AG40" s="62" t="str">
        <f t="shared" si="3"/>
        <v/>
      </c>
      <c r="AH40" s="68" t="str">
        <f t="shared" si="4"/>
        <v/>
      </c>
      <c r="AI40" s="62" t="str">
        <f t="shared" si="5"/>
        <v/>
      </c>
      <c r="AJ40" s="70" t="str">
        <f t="shared" si="6"/>
        <v/>
      </c>
      <c r="AK40" s="1"/>
      <c r="AL40" s="1"/>
      <c r="AM40" s="1"/>
      <c r="AN40" s="1"/>
    </row>
    <row r="41" spans="1:40" ht="20.100000000000001" customHeight="1" x14ac:dyDescent="0.3">
      <c r="A41" s="33">
        <v>34</v>
      </c>
      <c r="B41" s="34"/>
      <c r="C41" s="35"/>
      <c r="D41" s="36"/>
      <c r="E41" s="36"/>
      <c r="F41" s="36"/>
      <c r="G41" s="36"/>
      <c r="H41" s="36"/>
      <c r="I41" s="36"/>
      <c r="J41" s="36"/>
      <c r="K41" s="36"/>
      <c r="L41" s="91"/>
      <c r="M41" s="35"/>
      <c r="N41" s="36"/>
      <c r="O41" s="36"/>
      <c r="P41" s="36"/>
      <c r="Q41" s="36"/>
      <c r="R41" s="91"/>
      <c r="S41" s="35"/>
      <c r="T41" s="36"/>
      <c r="U41" s="36"/>
      <c r="V41" s="36"/>
      <c r="W41" s="36"/>
      <c r="X41" s="91"/>
      <c r="Y41" s="35"/>
      <c r="Z41" s="36"/>
      <c r="AA41" s="91"/>
      <c r="AB41" s="66">
        <f t="shared" si="9"/>
        <v>0</v>
      </c>
      <c r="AC41" s="66">
        <f t="shared" si="7"/>
        <v>0</v>
      </c>
      <c r="AD41" s="67">
        <f t="shared" si="13"/>
        <v>0</v>
      </c>
      <c r="AE41" s="66">
        <f t="shared" si="2"/>
        <v>0</v>
      </c>
      <c r="AF41" s="65" t="str">
        <f t="shared" si="8"/>
        <v/>
      </c>
      <c r="AG41" s="62" t="str">
        <f t="shared" si="3"/>
        <v/>
      </c>
      <c r="AH41" s="68" t="str">
        <f t="shared" si="4"/>
        <v/>
      </c>
      <c r="AI41" s="62" t="str">
        <f t="shared" si="5"/>
        <v/>
      </c>
      <c r="AJ41" s="70" t="str">
        <f t="shared" si="6"/>
        <v/>
      </c>
      <c r="AK41" s="1"/>
      <c r="AL41" s="1"/>
      <c r="AM41" s="1"/>
      <c r="AN41" s="1"/>
    </row>
    <row r="42" spans="1:40" ht="20.100000000000001" customHeight="1" x14ac:dyDescent="0.3">
      <c r="A42" s="27">
        <v>35</v>
      </c>
      <c r="B42" s="38"/>
      <c r="C42" s="39"/>
      <c r="D42" s="40"/>
      <c r="E42" s="40"/>
      <c r="F42" s="40"/>
      <c r="G42" s="40"/>
      <c r="H42" s="40"/>
      <c r="I42" s="40"/>
      <c r="J42" s="40"/>
      <c r="K42" s="40"/>
      <c r="L42" s="92"/>
      <c r="M42" s="39"/>
      <c r="N42" s="40"/>
      <c r="O42" s="40"/>
      <c r="P42" s="40"/>
      <c r="Q42" s="40"/>
      <c r="R42" s="92"/>
      <c r="S42" s="39"/>
      <c r="T42" s="40"/>
      <c r="U42" s="40"/>
      <c r="V42" s="40"/>
      <c r="W42" s="40"/>
      <c r="X42" s="92"/>
      <c r="Y42" s="39"/>
      <c r="Z42" s="40"/>
      <c r="AA42" s="92"/>
      <c r="AB42" s="62">
        <f t="shared" ref="AB42:AB43" si="17">COUNTIF(C42:AA42,3)</f>
        <v>0</v>
      </c>
      <c r="AC42" s="62">
        <f t="shared" si="7"/>
        <v>0</v>
      </c>
      <c r="AD42" s="68">
        <f t="shared" si="13"/>
        <v>0</v>
      </c>
      <c r="AE42" s="62">
        <f t="shared" si="2"/>
        <v>0</v>
      </c>
      <c r="AF42" s="65" t="str">
        <f t="shared" si="8"/>
        <v/>
      </c>
      <c r="AG42" s="62" t="str">
        <f t="shared" si="3"/>
        <v/>
      </c>
      <c r="AH42" s="68" t="str">
        <f t="shared" si="4"/>
        <v/>
      </c>
      <c r="AI42" s="62" t="str">
        <f t="shared" si="5"/>
        <v/>
      </c>
      <c r="AJ42" s="70" t="str">
        <f t="shared" si="6"/>
        <v/>
      </c>
      <c r="AK42" s="1"/>
      <c r="AL42" s="1"/>
      <c r="AM42" s="1"/>
      <c r="AN42" s="1"/>
    </row>
    <row r="43" spans="1:40" ht="20.100000000000001" customHeight="1" x14ac:dyDescent="0.3">
      <c r="A43" s="33">
        <v>36</v>
      </c>
      <c r="B43" s="34"/>
      <c r="C43" s="35"/>
      <c r="D43" s="36"/>
      <c r="E43" s="36"/>
      <c r="F43" s="36"/>
      <c r="G43" s="36"/>
      <c r="H43" s="36"/>
      <c r="I43" s="36"/>
      <c r="J43" s="36"/>
      <c r="K43" s="36"/>
      <c r="L43" s="91"/>
      <c r="M43" s="35"/>
      <c r="N43" s="36"/>
      <c r="O43" s="36"/>
      <c r="P43" s="36"/>
      <c r="Q43" s="36"/>
      <c r="R43" s="91"/>
      <c r="S43" s="35"/>
      <c r="T43" s="36"/>
      <c r="U43" s="36"/>
      <c r="V43" s="36"/>
      <c r="W43" s="36"/>
      <c r="X43" s="91"/>
      <c r="Y43" s="35"/>
      <c r="Z43" s="36"/>
      <c r="AA43" s="91"/>
      <c r="AB43" s="66">
        <f t="shared" si="17"/>
        <v>0</v>
      </c>
      <c r="AC43" s="66">
        <f t="shared" si="7"/>
        <v>0</v>
      </c>
      <c r="AD43" s="67">
        <f t="shared" si="13"/>
        <v>0</v>
      </c>
      <c r="AE43" s="66">
        <f t="shared" si="2"/>
        <v>0</v>
      </c>
      <c r="AF43" s="65" t="str">
        <f t="shared" si="8"/>
        <v/>
      </c>
      <c r="AG43" s="62" t="str">
        <f t="shared" si="3"/>
        <v/>
      </c>
      <c r="AH43" s="68" t="str">
        <f t="shared" si="4"/>
        <v/>
      </c>
      <c r="AI43" s="62" t="str">
        <f t="shared" si="5"/>
        <v/>
      </c>
      <c r="AJ43" s="70" t="str">
        <f t="shared" si="6"/>
        <v/>
      </c>
      <c r="AK43" s="1"/>
      <c r="AL43" s="1"/>
      <c r="AM43" s="1"/>
      <c r="AN43" s="1"/>
    </row>
    <row r="44" spans="1:40" ht="20.100000000000001" customHeight="1" x14ac:dyDescent="0.3">
      <c r="A44" s="27">
        <v>37</v>
      </c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92"/>
      <c r="M44" s="39"/>
      <c r="N44" s="40"/>
      <c r="O44" s="40"/>
      <c r="P44" s="40"/>
      <c r="Q44" s="40"/>
      <c r="R44" s="92"/>
      <c r="S44" s="39"/>
      <c r="T44" s="40"/>
      <c r="U44" s="40"/>
      <c r="V44" s="40"/>
      <c r="W44" s="40"/>
      <c r="X44" s="92"/>
      <c r="Y44" s="39"/>
      <c r="Z44" s="40"/>
      <c r="AA44" s="92"/>
      <c r="AB44" s="62">
        <f t="shared" si="9"/>
        <v>0</v>
      </c>
      <c r="AC44" s="62">
        <f t="shared" si="7"/>
        <v>0</v>
      </c>
      <c r="AD44" s="68">
        <f t="shared" si="13"/>
        <v>0</v>
      </c>
      <c r="AE44" s="62">
        <f t="shared" si="2"/>
        <v>0</v>
      </c>
      <c r="AF44" s="65" t="str">
        <f t="shared" si="8"/>
        <v/>
      </c>
      <c r="AG44" s="62" t="str">
        <f t="shared" si="3"/>
        <v/>
      </c>
      <c r="AH44" s="68" t="str">
        <f t="shared" si="4"/>
        <v/>
      </c>
      <c r="AI44" s="62" t="str">
        <f t="shared" si="5"/>
        <v/>
      </c>
      <c r="AJ44" s="70" t="str">
        <f t="shared" si="6"/>
        <v/>
      </c>
      <c r="AK44" s="1"/>
      <c r="AL44" s="1"/>
      <c r="AM44" s="1"/>
      <c r="AN44" s="1"/>
    </row>
    <row r="45" spans="1:40" ht="20.100000000000001" customHeight="1" x14ac:dyDescent="0.3">
      <c r="A45" s="33">
        <v>38</v>
      </c>
      <c r="B45" s="34"/>
      <c r="C45" s="35"/>
      <c r="D45" s="36"/>
      <c r="E45" s="36"/>
      <c r="F45" s="36"/>
      <c r="G45" s="36"/>
      <c r="H45" s="36"/>
      <c r="I45" s="36"/>
      <c r="J45" s="36"/>
      <c r="K45" s="36"/>
      <c r="L45" s="91"/>
      <c r="M45" s="35"/>
      <c r="N45" s="36"/>
      <c r="O45" s="36"/>
      <c r="P45" s="36"/>
      <c r="Q45" s="36"/>
      <c r="R45" s="91"/>
      <c r="S45" s="35"/>
      <c r="T45" s="36"/>
      <c r="U45" s="36"/>
      <c r="V45" s="36"/>
      <c r="W45" s="36"/>
      <c r="X45" s="91"/>
      <c r="Y45" s="35"/>
      <c r="Z45" s="36"/>
      <c r="AA45" s="91"/>
      <c r="AB45" s="66">
        <f t="shared" ref="AB45:AB47" si="18">COUNTIF(C45:AA45,3)</f>
        <v>0</v>
      </c>
      <c r="AC45" s="66">
        <f t="shared" si="7"/>
        <v>0</v>
      </c>
      <c r="AD45" s="67">
        <f t="shared" ref="AD45:AD47" si="19">COUNTIF(C45:AA45,1)</f>
        <v>0</v>
      </c>
      <c r="AE45" s="66">
        <f t="shared" si="2"/>
        <v>0</v>
      </c>
      <c r="AF45" s="65" t="str">
        <f t="shared" si="8"/>
        <v/>
      </c>
      <c r="AG45" s="62" t="str">
        <f t="shared" si="3"/>
        <v/>
      </c>
      <c r="AH45" s="68" t="str">
        <f t="shared" si="4"/>
        <v/>
      </c>
      <c r="AI45" s="62" t="str">
        <f t="shared" si="5"/>
        <v/>
      </c>
      <c r="AJ45" s="70" t="str">
        <f t="shared" si="6"/>
        <v/>
      </c>
      <c r="AK45" s="1"/>
      <c r="AL45" s="1"/>
      <c r="AM45" s="1"/>
      <c r="AN45" s="1"/>
    </row>
    <row r="46" spans="1:40" ht="20.100000000000001" customHeight="1" x14ac:dyDescent="0.3">
      <c r="A46" s="27">
        <v>39</v>
      </c>
      <c r="B46" s="38"/>
      <c r="C46" s="39"/>
      <c r="D46" s="40"/>
      <c r="E46" s="40"/>
      <c r="F46" s="40"/>
      <c r="G46" s="40"/>
      <c r="H46" s="40"/>
      <c r="I46" s="40"/>
      <c r="J46" s="40"/>
      <c r="K46" s="40"/>
      <c r="L46" s="92"/>
      <c r="M46" s="39"/>
      <c r="N46" s="40"/>
      <c r="O46" s="40"/>
      <c r="P46" s="40"/>
      <c r="Q46" s="40"/>
      <c r="R46" s="92"/>
      <c r="S46" s="39"/>
      <c r="T46" s="40"/>
      <c r="U46" s="40"/>
      <c r="V46" s="40"/>
      <c r="W46" s="40"/>
      <c r="X46" s="92"/>
      <c r="Y46" s="39"/>
      <c r="Z46" s="40"/>
      <c r="AA46" s="92"/>
      <c r="AB46" s="62">
        <f t="shared" si="18"/>
        <v>0</v>
      </c>
      <c r="AC46" s="62">
        <f t="shared" si="7"/>
        <v>0</v>
      </c>
      <c r="AD46" s="68">
        <f t="shared" si="19"/>
        <v>0</v>
      </c>
      <c r="AE46" s="62">
        <f t="shared" si="2"/>
        <v>0</v>
      </c>
      <c r="AF46" s="65" t="str">
        <f t="shared" si="8"/>
        <v/>
      </c>
      <c r="AG46" s="62" t="str">
        <f t="shared" si="3"/>
        <v/>
      </c>
      <c r="AH46" s="68" t="str">
        <f t="shared" si="4"/>
        <v/>
      </c>
      <c r="AI46" s="62" t="str">
        <f t="shared" si="5"/>
        <v/>
      </c>
      <c r="AJ46" s="70" t="str">
        <f t="shared" si="6"/>
        <v/>
      </c>
      <c r="AK46" s="1"/>
      <c r="AL46" s="1"/>
      <c r="AM46" s="1"/>
      <c r="AN46" s="1"/>
    </row>
    <row r="47" spans="1:40" ht="20.100000000000001" customHeight="1" thickBot="1" x14ac:dyDescent="0.35">
      <c r="A47" s="42">
        <v>40</v>
      </c>
      <c r="B47" s="43"/>
      <c r="C47" s="47"/>
      <c r="D47" s="48"/>
      <c r="E47" s="48"/>
      <c r="F47" s="48"/>
      <c r="G47" s="48"/>
      <c r="H47" s="48"/>
      <c r="I47" s="48"/>
      <c r="J47" s="48"/>
      <c r="K47" s="48"/>
      <c r="L47" s="93"/>
      <c r="M47" s="47"/>
      <c r="N47" s="48"/>
      <c r="O47" s="48"/>
      <c r="P47" s="48"/>
      <c r="Q47" s="48"/>
      <c r="R47" s="93"/>
      <c r="S47" s="47"/>
      <c r="T47" s="48"/>
      <c r="U47" s="48"/>
      <c r="V47" s="48"/>
      <c r="W47" s="48"/>
      <c r="X47" s="93"/>
      <c r="Y47" s="47"/>
      <c r="Z47" s="48"/>
      <c r="AA47" s="93"/>
      <c r="AB47" s="71">
        <f t="shared" si="18"/>
        <v>0</v>
      </c>
      <c r="AC47" s="71">
        <f t="shared" si="7"/>
        <v>0</v>
      </c>
      <c r="AD47" s="72">
        <f t="shared" si="19"/>
        <v>0</v>
      </c>
      <c r="AE47" s="71">
        <f t="shared" si="2"/>
        <v>0</v>
      </c>
      <c r="AF47" s="65" t="str">
        <f t="shared" si="8"/>
        <v/>
      </c>
      <c r="AG47" s="105" t="str">
        <f t="shared" si="3"/>
        <v/>
      </c>
      <c r="AH47" s="106" t="str">
        <f t="shared" si="4"/>
        <v/>
      </c>
      <c r="AI47" s="105" t="str">
        <f t="shared" si="5"/>
        <v/>
      </c>
      <c r="AJ47" s="107" t="str">
        <f t="shared" si="6"/>
        <v/>
      </c>
      <c r="AK47" s="1"/>
      <c r="AL47" s="1"/>
      <c r="AM47" s="1"/>
      <c r="AN47" s="1"/>
    </row>
    <row r="48" spans="1:40" ht="27" customHeight="1" thickBot="1" x14ac:dyDescent="0.35">
      <c r="A48" s="191" t="s">
        <v>31</v>
      </c>
      <c r="B48" s="192"/>
      <c r="C48" s="49" t="s">
        <v>10</v>
      </c>
      <c r="D48" s="49" t="s">
        <v>11</v>
      </c>
      <c r="E48" s="49" t="s">
        <v>12</v>
      </c>
      <c r="F48" s="49" t="s">
        <v>13</v>
      </c>
      <c r="G48" s="49" t="s">
        <v>14</v>
      </c>
      <c r="H48" s="49" t="s">
        <v>15</v>
      </c>
      <c r="I48" s="49" t="s">
        <v>16</v>
      </c>
      <c r="J48" s="49" t="s">
        <v>17</v>
      </c>
      <c r="K48" s="49" t="s">
        <v>18</v>
      </c>
      <c r="L48" s="49" t="s">
        <v>19</v>
      </c>
      <c r="M48" s="49" t="s">
        <v>20</v>
      </c>
      <c r="N48" s="49" t="s">
        <v>21</v>
      </c>
      <c r="O48" s="49" t="s">
        <v>22</v>
      </c>
      <c r="P48" s="49" t="s">
        <v>23</v>
      </c>
      <c r="Q48" s="49" t="s">
        <v>24</v>
      </c>
      <c r="R48" s="49" t="s">
        <v>25</v>
      </c>
      <c r="S48" s="49" t="s">
        <v>26</v>
      </c>
      <c r="T48" s="49" t="s">
        <v>27</v>
      </c>
      <c r="U48" s="49" t="s">
        <v>28</v>
      </c>
      <c r="V48" s="49" t="s">
        <v>29</v>
      </c>
      <c r="W48" s="49" t="s">
        <v>53</v>
      </c>
      <c r="X48" s="49" t="s">
        <v>54</v>
      </c>
      <c r="Y48" s="49" t="s">
        <v>55</v>
      </c>
      <c r="Z48" s="49" t="s">
        <v>56</v>
      </c>
      <c r="AA48" s="49" t="s">
        <v>67</v>
      </c>
      <c r="AB48" s="15"/>
      <c r="AC48" s="15"/>
      <c r="AD48" s="193" t="s">
        <v>32</v>
      </c>
      <c r="AE48" s="194"/>
      <c r="AF48" s="194"/>
      <c r="AG48" s="194"/>
      <c r="AH48" s="194"/>
      <c r="AI48" s="194"/>
      <c r="AJ48" s="195"/>
      <c r="AK48" s="1"/>
      <c r="AL48" s="1"/>
      <c r="AM48" s="1"/>
      <c r="AN48" s="1"/>
    </row>
    <row r="49" spans="1:40" ht="27" customHeight="1" x14ac:dyDescent="0.3">
      <c r="A49" s="156" t="s">
        <v>6</v>
      </c>
      <c r="B49" s="157"/>
      <c r="C49" s="74">
        <f t="shared" ref="C49:R49" si="20">COUNTIF(C8:C47,3)/COUNTA(C8:C47)*1</f>
        <v>1</v>
      </c>
      <c r="D49" s="74">
        <f t="shared" si="20"/>
        <v>1</v>
      </c>
      <c r="E49" s="74">
        <f t="shared" si="20"/>
        <v>1</v>
      </c>
      <c r="F49" s="74">
        <f t="shared" si="20"/>
        <v>1</v>
      </c>
      <c r="G49" s="74">
        <f t="shared" si="20"/>
        <v>1</v>
      </c>
      <c r="H49" s="74">
        <f t="shared" si="20"/>
        <v>1</v>
      </c>
      <c r="I49" s="74">
        <f t="shared" si="20"/>
        <v>1</v>
      </c>
      <c r="J49" s="74">
        <f t="shared" si="20"/>
        <v>1</v>
      </c>
      <c r="K49" s="74">
        <f t="shared" si="20"/>
        <v>1</v>
      </c>
      <c r="L49" s="74">
        <f t="shared" si="20"/>
        <v>1</v>
      </c>
      <c r="M49" s="74">
        <f t="shared" si="20"/>
        <v>0.5</v>
      </c>
      <c r="N49" s="74">
        <f t="shared" si="20"/>
        <v>0.5</v>
      </c>
      <c r="O49" s="74">
        <f t="shared" si="20"/>
        <v>0.5</v>
      </c>
      <c r="P49" s="74">
        <f t="shared" si="20"/>
        <v>0.5</v>
      </c>
      <c r="Q49" s="74">
        <f t="shared" si="20"/>
        <v>0.5</v>
      </c>
      <c r="R49" s="74">
        <f t="shared" si="20"/>
        <v>0</v>
      </c>
      <c r="S49" s="74">
        <f t="shared" ref="S49:AA49" si="21">COUNTIF(S8:S47,3)/COUNTA(S8:S47)*1</f>
        <v>0.5</v>
      </c>
      <c r="T49" s="74">
        <f t="shared" si="21"/>
        <v>0</v>
      </c>
      <c r="U49" s="74">
        <f t="shared" si="21"/>
        <v>0</v>
      </c>
      <c r="V49" s="74">
        <f t="shared" si="21"/>
        <v>0.5</v>
      </c>
      <c r="W49" s="74">
        <f t="shared" si="21"/>
        <v>0.5</v>
      </c>
      <c r="X49" s="74">
        <f t="shared" si="21"/>
        <v>0.5</v>
      </c>
      <c r="Y49" s="74">
        <f t="shared" si="21"/>
        <v>0.5</v>
      </c>
      <c r="Z49" s="74">
        <f t="shared" si="21"/>
        <v>0.5</v>
      </c>
      <c r="AA49" s="74">
        <f t="shared" si="21"/>
        <v>0</v>
      </c>
      <c r="AB49" s="15"/>
      <c r="AC49" s="15"/>
      <c r="AD49" s="158" t="s">
        <v>2</v>
      </c>
      <c r="AE49" s="159"/>
      <c r="AF49" s="164" t="s">
        <v>50</v>
      </c>
      <c r="AG49" s="222" t="s">
        <v>58</v>
      </c>
      <c r="AH49" s="164" t="s">
        <v>64</v>
      </c>
      <c r="AI49" s="222" t="s">
        <v>66</v>
      </c>
      <c r="AJ49" s="167" t="s">
        <v>33</v>
      </c>
      <c r="AK49" s="147"/>
      <c r="AL49" s="3"/>
      <c r="AM49" s="1"/>
      <c r="AN49" s="1"/>
    </row>
    <row r="50" spans="1:40" ht="27" customHeight="1" x14ac:dyDescent="0.3">
      <c r="A50" s="148" t="s">
        <v>68</v>
      </c>
      <c r="B50" s="149"/>
      <c r="C50" s="75">
        <f>COUNTIF(C9:C48,2)/COUNTA(C9:C48)*1</f>
        <v>0</v>
      </c>
      <c r="D50" s="75">
        <f t="shared" ref="D50:AA50" si="22">COUNTIF(D9:D48,2)/COUNTA(D9:D48)*1</f>
        <v>0</v>
      </c>
      <c r="E50" s="75">
        <f t="shared" si="22"/>
        <v>0</v>
      </c>
      <c r="F50" s="75">
        <f t="shared" si="22"/>
        <v>0</v>
      </c>
      <c r="G50" s="75">
        <f t="shared" si="22"/>
        <v>0</v>
      </c>
      <c r="H50" s="75">
        <f t="shared" si="22"/>
        <v>0</v>
      </c>
      <c r="I50" s="75">
        <f t="shared" si="22"/>
        <v>0</v>
      </c>
      <c r="J50" s="75">
        <f t="shared" si="22"/>
        <v>0</v>
      </c>
      <c r="K50" s="75">
        <f t="shared" si="22"/>
        <v>0</v>
      </c>
      <c r="L50" s="75">
        <f t="shared" si="22"/>
        <v>0</v>
      </c>
      <c r="M50" s="75">
        <f t="shared" si="22"/>
        <v>0</v>
      </c>
      <c r="N50" s="75">
        <f t="shared" si="22"/>
        <v>0</v>
      </c>
      <c r="O50" s="75">
        <f t="shared" si="22"/>
        <v>0</v>
      </c>
      <c r="P50" s="75">
        <f t="shared" si="22"/>
        <v>0</v>
      </c>
      <c r="Q50" s="75">
        <f t="shared" si="22"/>
        <v>0</v>
      </c>
      <c r="R50" s="75">
        <f t="shared" si="22"/>
        <v>0</v>
      </c>
      <c r="S50" s="75">
        <f t="shared" si="22"/>
        <v>0</v>
      </c>
      <c r="T50" s="75">
        <f t="shared" si="22"/>
        <v>0.5</v>
      </c>
      <c r="U50" s="75">
        <f t="shared" si="22"/>
        <v>0</v>
      </c>
      <c r="V50" s="75">
        <f t="shared" si="22"/>
        <v>0</v>
      </c>
      <c r="W50" s="75">
        <f t="shared" si="22"/>
        <v>0</v>
      </c>
      <c r="X50" s="75">
        <f t="shared" si="22"/>
        <v>0</v>
      </c>
      <c r="Y50" s="75">
        <f t="shared" si="22"/>
        <v>0</v>
      </c>
      <c r="Z50" s="75">
        <f t="shared" si="22"/>
        <v>0</v>
      </c>
      <c r="AA50" s="75">
        <f t="shared" si="22"/>
        <v>0</v>
      </c>
      <c r="AB50" s="15"/>
      <c r="AC50" s="15"/>
      <c r="AD50" s="160"/>
      <c r="AE50" s="161"/>
      <c r="AF50" s="165"/>
      <c r="AG50" s="223"/>
      <c r="AH50" s="165"/>
      <c r="AI50" s="223"/>
      <c r="AJ50" s="168"/>
      <c r="AK50" s="147"/>
      <c r="AL50" s="3"/>
      <c r="AM50" s="1"/>
      <c r="AN50" s="1"/>
    </row>
    <row r="51" spans="1:40" ht="26.25" customHeight="1" thickBot="1" x14ac:dyDescent="0.35">
      <c r="A51" s="150" t="s">
        <v>7</v>
      </c>
      <c r="B51" s="151"/>
      <c r="C51" s="76">
        <f>COUNTIF(C8:C47,1)/COUNTA(C8:C47)*1</f>
        <v>0</v>
      </c>
      <c r="D51" s="76">
        <f t="shared" ref="D51:AA51" si="23">COUNTIF(D8:D47,1)/COUNTA(D8:D47)*1</f>
        <v>0</v>
      </c>
      <c r="E51" s="76">
        <f t="shared" si="23"/>
        <v>0</v>
      </c>
      <c r="F51" s="76">
        <f t="shared" si="23"/>
        <v>0</v>
      </c>
      <c r="G51" s="76">
        <f t="shared" si="23"/>
        <v>0</v>
      </c>
      <c r="H51" s="76">
        <f t="shared" si="23"/>
        <v>0</v>
      </c>
      <c r="I51" s="76">
        <f t="shared" si="23"/>
        <v>0</v>
      </c>
      <c r="J51" s="76">
        <f t="shared" si="23"/>
        <v>0</v>
      </c>
      <c r="K51" s="76">
        <f t="shared" si="23"/>
        <v>0</v>
      </c>
      <c r="L51" s="76">
        <f t="shared" si="23"/>
        <v>0</v>
      </c>
      <c r="M51" s="76">
        <f t="shared" si="23"/>
        <v>0</v>
      </c>
      <c r="N51" s="76">
        <f t="shared" si="23"/>
        <v>0</v>
      </c>
      <c r="O51" s="76">
        <f t="shared" si="23"/>
        <v>0</v>
      </c>
      <c r="P51" s="76">
        <f t="shared" si="23"/>
        <v>0</v>
      </c>
      <c r="Q51" s="76">
        <f t="shared" si="23"/>
        <v>0</v>
      </c>
      <c r="R51" s="76">
        <f t="shared" si="23"/>
        <v>0</v>
      </c>
      <c r="S51" s="76">
        <f t="shared" si="23"/>
        <v>0</v>
      </c>
      <c r="T51" s="76">
        <f t="shared" si="23"/>
        <v>0</v>
      </c>
      <c r="U51" s="76">
        <f t="shared" si="23"/>
        <v>0.5</v>
      </c>
      <c r="V51" s="76">
        <f t="shared" si="23"/>
        <v>0</v>
      </c>
      <c r="W51" s="76">
        <f t="shared" si="23"/>
        <v>0</v>
      </c>
      <c r="X51" s="76">
        <f t="shared" si="23"/>
        <v>0</v>
      </c>
      <c r="Y51" s="76">
        <f t="shared" si="23"/>
        <v>0</v>
      </c>
      <c r="Z51" s="76">
        <f t="shared" si="23"/>
        <v>0</v>
      </c>
      <c r="AA51" s="76">
        <f t="shared" si="23"/>
        <v>0</v>
      </c>
      <c r="AB51" s="15"/>
      <c r="AC51" s="15"/>
      <c r="AD51" s="162"/>
      <c r="AE51" s="163"/>
      <c r="AF51" s="166"/>
      <c r="AG51" s="224"/>
      <c r="AH51" s="166"/>
      <c r="AI51" s="224"/>
      <c r="AJ51" s="169"/>
      <c r="AK51" s="147"/>
      <c r="AL51" s="3"/>
      <c r="AM51" s="1"/>
      <c r="AN51" s="1"/>
    </row>
    <row r="52" spans="1:40" ht="20.100000000000001" customHeight="1" thickBot="1" x14ac:dyDescent="0.35">
      <c r="A52" s="152" t="s">
        <v>8</v>
      </c>
      <c r="B52" s="153"/>
      <c r="C52" s="77">
        <f>COUNTIF(C8:C47,0)/COUNTA(C8:C47)*1</f>
        <v>0</v>
      </c>
      <c r="D52" s="77">
        <f t="shared" ref="D52:AA52" si="24">COUNTIF(D8:D47,0)/COUNTA(D8:D47)*1</f>
        <v>0</v>
      </c>
      <c r="E52" s="77">
        <f t="shared" si="24"/>
        <v>0</v>
      </c>
      <c r="F52" s="77">
        <f t="shared" si="24"/>
        <v>0</v>
      </c>
      <c r="G52" s="77">
        <f t="shared" si="24"/>
        <v>0</v>
      </c>
      <c r="H52" s="77">
        <f t="shared" si="24"/>
        <v>0</v>
      </c>
      <c r="I52" s="77">
        <f t="shared" si="24"/>
        <v>0</v>
      </c>
      <c r="J52" s="77">
        <f t="shared" si="24"/>
        <v>0</v>
      </c>
      <c r="K52" s="77">
        <f t="shared" si="24"/>
        <v>0</v>
      </c>
      <c r="L52" s="77">
        <f t="shared" si="24"/>
        <v>0</v>
      </c>
      <c r="M52" s="77">
        <f t="shared" si="24"/>
        <v>0.5</v>
      </c>
      <c r="N52" s="77">
        <f t="shared" si="24"/>
        <v>0.5</v>
      </c>
      <c r="O52" s="77">
        <f t="shared" si="24"/>
        <v>0.5</v>
      </c>
      <c r="P52" s="77">
        <f t="shared" si="24"/>
        <v>0.5</v>
      </c>
      <c r="Q52" s="77">
        <f t="shared" si="24"/>
        <v>0.5</v>
      </c>
      <c r="R52" s="77">
        <f t="shared" si="24"/>
        <v>1</v>
      </c>
      <c r="S52" s="77">
        <f t="shared" si="24"/>
        <v>0.5</v>
      </c>
      <c r="T52" s="77">
        <f t="shared" si="24"/>
        <v>0.5</v>
      </c>
      <c r="U52" s="77">
        <f t="shared" si="24"/>
        <v>0.5</v>
      </c>
      <c r="V52" s="77">
        <f t="shared" si="24"/>
        <v>0.5</v>
      </c>
      <c r="W52" s="77">
        <f t="shared" si="24"/>
        <v>0.5</v>
      </c>
      <c r="X52" s="77">
        <f t="shared" si="24"/>
        <v>0.5</v>
      </c>
      <c r="Y52" s="77">
        <f t="shared" si="24"/>
        <v>0.5</v>
      </c>
      <c r="Z52" s="77">
        <f t="shared" si="24"/>
        <v>0.5</v>
      </c>
      <c r="AA52" s="77">
        <f t="shared" si="24"/>
        <v>1</v>
      </c>
      <c r="AB52" s="15"/>
      <c r="AC52" s="15"/>
      <c r="AD52" s="154" t="s">
        <v>34</v>
      </c>
      <c r="AE52" s="155"/>
      <c r="AF52" s="79">
        <f>COUNTIFS(AF8:AF47,"Logrado")</f>
        <v>1</v>
      </c>
      <c r="AG52" s="79">
        <f t="shared" ref="AG52:AJ52" si="25">COUNTIFS(AG8:AG47,"Logrado")</f>
        <v>0</v>
      </c>
      <c r="AH52" s="79">
        <f t="shared" si="25"/>
        <v>0</v>
      </c>
      <c r="AI52" s="79">
        <f t="shared" si="25"/>
        <v>0</v>
      </c>
      <c r="AJ52" s="79">
        <f t="shared" si="25"/>
        <v>0</v>
      </c>
      <c r="AK52" s="1"/>
      <c r="AL52" s="1"/>
      <c r="AM52" s="1"/>
      <c r="AN52" s="1"/>
    </row>
    <row r="53" spans="1:40" ht="20.100000000000001" customHeight="1" thickBot="1" x14ac:dyDescent="0.35">
      <c r="A53" s="187" t="s">
        <v>35</v>
      </c>
      <c r="B53" s="188"/>
      <c r="C53" s="78">
        <f>SUM(C49:C52)</f>
        <v>1</v>
      </c>
      <c r="D53" s="78">
        <f t="shared" ref="D53:AA53" si="26">SUM(D49:D52)</f>
        <v>1</v>
      </c>
      <c r="E53" s="78">
        <f t="shared" si="26"/>
        <v>1</v>
      </c>
      <c r="F53" s="78">
        <f t="shared" si="26"/>
        <v>1</v>
      </c>
      <c r="G53" s="78">
        <f t="shared" si="26"/>
        <v>1</v>
      </c>
      <c r="H53" s="78">
        <f t="shared" si="26"/>
        <v>1</v>
      </c>
      <c r="I53" s="78">
        <f t="shared" si="26"/>
        <v>1</v>
      </c>
      <c r="J53" s="78">
        <f t="shared" si="26"/>
        <v>1</v>
      </c>
      <c r="K53" s="78">
        <f t="shared" si="26"/>
        <v>1</v>
      </c>
      <c r="L53" s="78">
        <f t="shared" si="26"/>
        <v>1</v>
      </c>
      <c r="M53" s="78">
        <f t="shared" si="26"/>
        <v>1</v>
      </c>
      <c r="N53" s="78">
        <f t="shared" si="26"/>
        <v>1</v>
      </c>
      <c r="O53" s="78">
        <f t="shared" si="26"/>
        <v>1</v>
      </c>
      <c r="P53" s="78">
        <f t="shared" si="26"/>
        <v>1</v>
      </c>
      <c r="Q53" s="78">
        <f t="shared" si="26"/>
        <v>1</v>
      </c>
      <c r="R53" s="78">
        <f t="shared" si="26"/>
        <v>1</v>
      </c>
      <c r="S53" s="78">
        <f t="shared" si="26"/>
        <v>1</v>
      </c>
      <c r="T53" s="78">
        <f t="shared" si="26"/>
        <v>1</v>
      </c>
      <c r="U53" s="78">
        <f t="shared" si="26"/>
        <v>1</v>
      </c>
      <c r="V53" s="78">
        <f t="shared" si="26"/>
        <v>1</v>
      </c>
      <c r="W53" s="78">
        <f t="shared" si="26"/>
        <v>1</v>
      </c>
      <c r="X53" s="78">
        <f t="shared" si="26"/>
        <v>1</v>
      </c>
      <c r="Y53" s="78">
        <f t="shared" si="26"/>
        <v>1</v>
      </c>
      <c r="Z53" s="78">
        <f t="shared" si="26"/>
        <v>1</v>
      </c>
      <c r="AA53" s="78">
        <f t="shared" si="26"/>
        <v>1</v>
      </c>
      <c r="AB53" s="15"/>
      <c r="AC53" s="15"/>
      <c r="AD53" s="189" t="s">
        <v>36</v>
      </c>
      <c r="AE53" s="190"/>
      <c r="AF53" s="80">
        <f>COUNTIFS(AF8:AF47,"Proceso")</f>
        <v>0</v>
      </c>
      <c r="AG53" s="80">
        <f t="shared" ref="AG53:AJ53" si="27">COUNTIFS(AG8:AG47,"Proceso")</f>
        <v>1</v>
      </c>
      <c r="AH53" s="80">
        <f t="shared" si="27"/>
        <v>1</v>
      </c>
      <c r="AI53" s="80">
        <f t="shared" si="27"/>
        <v>1</v>
      </c>
      <c r="AJ53" s="80">
        <f t="shared" si="27"/>
        <v>0</v>
      </c>
      <c r="AK53" s="1"/>
      <c r="AL53" s="1"/>
      <c r="AM53" s="1"/>
      <c r="AN53" s="1"/>
    </row>
    <row r="54" spans="1:40" ht="20.100000000000001" customHeight="1" x14ac:dyDescent="0.3">
      <c r="A54" s="50"/>
      <c r="B54" s="50"/>
      <c r="C54" s="51"/>
      <c r="D54" s="51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9" t="s">
        <v>37</v>
      </c>
      <c r="AE54" s="180"/>
      <c r="AF54" s="80">
        <f>COUNTIFS(AF8:AF47,"Inicio")</f>
        <v>0</v>
      </c>
      <c r="AG54" s="80">
        <f t="shared" ref="AG54:AJ54" si="28">COUNTIFS(AG8:AG47,"Inicio")</f>
        <v>0</v>
      </c>
      <c r="AH54" s="80">
        <f t="shared" si="28"/>
        <v>0</v>
      </c>
      <c r="AI54" s="80">
        <f t="shared" si="28"/>
        <v>0</v>
      </c>
      <c r="AJ54" s="80">
        <f t="shared" si="28"/>
        <v>2</v>
      </c>
      <c r="AK54" s="1"/>
      <c r="AL54" s="1"/>
      <c r="AM54" s="1"/>
      <c r="AN54" s="1"/>
    </row>
    <row r="55" spans="1:40" ht="20.100000000000001" customHeight="1" thickBot="1" x14ac:dyDescent="0.35">
      <c r="A55" s="50"/>
      <c r="B55" s="50"/>
      <c r="C55" s="94"/>
      <c r="D55" s="9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228" t="s">
        <v>38</v>
      </c>
      <c r="AE55" s="229"/>
      <c r="AF55" s="95">
        <f>COUNTIFS(AF8:AF47,"Previo al inicio")</f>
        <v>0</v>
      </c>
      <c r="AG55" s="95">
        <f t="shared" ref="AG55:AJ55" si="29">COUNTIFS(AG8:AG47,"Previo al inicio")</f>
        <v>1</v>
      </c>
      <c r="AH55" s="95">
        <f t="shared" si="29"/>
        <v>1</v>
      </c>
      <c r="AI55" s="95">
        <f t="shared" si="29"/>
        <v>1</v>
      </c>
      <c r="AJ55" s="95">
        <f t="shared" si="29"/>
        <v>0</v>
      </c>
      <c r="AK55" s="1"/>
      <c r="AL55" s="1"/>
      <c r="AM55" s="1"/>
      <c r="AN55" s="1"/>
    </row>
    <row r="56" spans="1:40" ht="34.5" customHeight="1" thickBot="1" x14ac:dyDescent="0.35">
      <c r="A56" s="181" t="s">
        <v>39</v>
      </c>
      <c r="B56" s="182"/>
      <c r="C56" s="82" t="str">
        <f t="shared" ref="C56:AA56" si="30">IF(COUNTIF(C8:C47,3)/COUNTA(C8:C47)&lt;=0.25,"Previo al inicio",
   IF(COUNTIF(C8:C47,3)/COUNTA(C8:C47)&lt;=0.5,"Inicio",
   IF(COUNTIF(C8:C47,3)/COUNTA(C8:C47)&lt;=0.75,"Proceso",
   "Logrado")))</f>
        <v>Logrado</v>
      </c>
      <c r="D56" s="83" t="str">
        <f t="shared" si="30"/>
        <v>Logrado</v>
      </c>
      <c r="E56" s="83" t="str">
        <f t="shared" si="30"/>
        <v>Logrado</v>
      </c>
      <c r="F56" s="83" t="str">
        <f t="shared" si="30"/>
        <v>Logrado</v>
      </c>
      <c r="G56" s="83" t="str">
        <f t="shared" si="30"/>
        <v>Logrado</v>
      </c>
      <c r="H56" s="83" t="str">
        <f t="shared" si="30"/>
        <v>Logrado</v>
      </c>
      <c r="I56" s="83" t="str">
        <f t="shared" si="30"/>
        <v>Logrado</v>
      </c>
      <c r="J56" s="83" t="str">
        <f t="shared" si="30"/>
        <v>Logrado</v>
      </c>
      <c r="K56" s="83" t="str">
        <f t="shared" si="30"/>
        <v>Logrado</v>
      </c>
      <c r="L56" s="84" t="str">
        <f t="shared" si="30"/>
        <v>Logrado</v>
      </c>
      <c r="M56" s="85" t="str">
        <f t="shared" si="30"/>
        <v>Inicio</v>
      </c>
      <c r="N56" s="83" t="str">
        <f t="shared" si="30"/>
        <v>Inicio</v>
      </c>
      <c r="O56" s="83" t="str">
        <f t="shared" si="30"/>
        <v>Inicio</v>
      </c>
      <c r="P56" s="83" t="str">
        <f t="shared" si="30"/>
        <v>Inicio</v>
      </c>
      <c r="Q56" s="83" t="str">
        <f t="shared" si="30"/>
        <v>Inicio</v>
      </c>
      <c r="R56" s="97" t="str">
        <f t="shared" si="30"/>
        <v>Previo al inicio</v>
      </c>
      <c r="S56" s="82" t="str">
        <f t="shared" si="30"/>
        <v>Inicio</v>
      </c>
      <c r="T56" s="83" t="str">
        <f t="shared" si="30"/>
        <v>Previo al inicio</v>
      </c>
      <c r="U56" s="83" t="str">
        <f t="shared" si="30"/>
        <v>Previo al inicio</v>
      </c>
      <c r="V56" s="83" t="str">
        <f t="shared" si="30"/>
        <v>Inicio</v>
      </c>
      <c r="W56" s="83" t="str">
        <f t="shared" si="30"/>
        <v>Inicio</v>
      </c>
      <c r="X56" s="84" t="str">
        <f t="shared" si="30"/>
        <v>Inicio</v>
      </c>
      <c r="Y56" s="85" t="str">
        <f t="shared" si="30"/>
        <v>Inicio</v>
      </c>
      <c r="Z56" s="83" t="str">
        <f t="shared" si="30"/>
        <v>Inicio</v>
      </c>
      <c r="AA56" s="84" t="str">
        <f t="shared" si="30"/>
        <v>Previo al inicio</v>
      </c>
      <c r="AB56" s="15"/>
      <c r="AC56" s="15"/>
      <c r="AD56" s="183" t="s">
        <v>40</v>
      </c>
      <c r="AE56" s="184"/>
      <c r="AF56" s="81">
        <f>SUM(AF52:AF55)</f>
        <v>1</v>
      </c>
      <c r="AG56" s="81">
        <f t="shared" ref="AG56:AJ56" si="31">SUM(AG52:AG55)</f>
        <v>2</v>
      </c>
      <c r="AH56" s="81">
        <f t="shared" si="31"/>
        <v>2</v>
      </c>
      <c r="AI56" s="81">
        <f t="shared" si="31"/>
        <v>2</v>
      </c>
      <c r="AJ56" s="81">
        <f t="shared" si="31"/>
        <v>2</v>
      </c>
      <c r="AK56" s="1"/>
      <c r="AL56" s="1"/>
      <c r="AM56" s="1"/>
      <c r="AN56" s="1"/>
    </row>
    <row r="57" spans="1:40" ht="25.5" customHeight="1" thickBot="1" x14ac:dyDescent="0.35">
      <c r="A57" s="185" t="s">
        <v>41</v>
      </c>
      <c r="B57" s="230"/>
      <c r="C57" s="231" t="str">
        <f>IF(SUM(C49:L49)&lt;=250%,"Previo al inicio",
   IF(SUM(C49:L49)&lt;=500%,"Inicio",
   IF(SUM(C49:L49)&lt;=750%,"Proceso",
   "Logrado")))</f>
        <v>Logrado</v>
      </c>
      <c r="D57" s="232"/>
      <c r="E57" s="232"/>
      <c r="F57" s="232"/>
      <c r="G57" s="232"/>
      <c r="H57" s="232"/>
      <c r="I57" s="232"/>
      <c r="J57" s="232"/>
      <c r="K57" s="232"/>
      <c r="L57" s="233"/>
      <c r="M57" s="231" t="str">
        <f>IF(SUM(M49:R49)&lt;=150%,"Previo al inicio",
   IF(SUM(M49:R49)&lt;=300%,"Inicio",
   IF(SUM(M49:R49)&lt;=450%,"Proceso",
   "Logrado")))</f>
        <v>Inicio</v>
      </c>
      <c r="N57" s="232"/>
      <c r="O57" s="232"/>
      <c r="P57" s="232"/>
      <c r="Q57" s="232"/>
      <c r="R57" s="232"/>
      <c r="S57" s="231" t="str">
        <f>IF(SUM(S49:X49)&lt;=150%,"Previo al inicio",
   IF(SUM(S49:X49)&lt;=300%,"Inicio",
   IF(SUM(S49:X49)&lt;=450%,"Proceso",
   "Logrado")))</f>
        <v>Inicio</v>
      </c>
      <c r="T57" s="232"/>
      <c r="U57" s="232"/>
      <c r="V57" s="232"/>
      <c r="W57" s="232"/>
      <c r="X57" s="232"/>
      <c r="Y57" s="231" t="str">
        <f>IF(SUM(Y49:AA49)&lt;=75%,"Previo al inicio",
   IF(SUM(Y49:AA49)&lt;=150%,"Inicio",
   IF(SUM(Y49:AA49)&lt;=225%,"Proceso",
   "Logrado")))</f>
        <v>Inicio</v>
      </c>
      <c r="Z57" s="232"/>
      <c r="AA57" s="233"/>
      <c r="AB57" s="52"/>
      <c r="AC57" s="52"/>
      <c r="AD57" s="52"/>
      <c r="AE57" s="15"/>
      <c r="AF57" s="15"/>
      <c r="AG57" s="15"/>
      <c r="AH57" s="15"/>
      <c r="AI57" s="15"/>
      <c r="AJ57" s="15"/>
      <c r="AK57" s="1"/>
      <c r="AL57" s="1"/>
      <c r="AM57" s="1"/>
      <c r="AN57" s="1"/>
    </row>
    <row r="58" spans="1:40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6.2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6.2" thickBot="1" x14ac:dyDescent="0.35">
      <c r="A60" s="1"/>
      <c r="B60" s="225" t="s">
        <v>42</v>
      </c>
      <c r="C60" s="226"/>
      <c r="D60" s="227"/>
      <c r="E60" s="4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.6" x14ac:dyDescent="0.3">
      <c r="A61" s="1"/>
      <c r="B61" s="13" t="s">
        <v>6</v>
      </c>
      <c r="C61" s="14" t="s">
        <v>43</v>
      </c>
      <c r="D61" s="7">
        <v>3</v>
      </c>
      <c r="E61" s="6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.6" x14ac:dyDescent="0.3">
      <c r="A62" s="1"/>
      <c r="B62" s="13" t="s">
        <v>68</v>
      </c>
      <c r="C62" s="14" t="s">
        <v>69</v>
      </c>
      <c r="D62" s="8">
        <v>2</v>
      </c>
      <c r="E62" s="6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.6" x14ac:dyDescent="0.3">
      <c r="A63" s="1"/>
      <c r="B63" s="9" t="s">
        <v>7</v>
      </c>
      <c r="C63" s="11" t="s">
        <v>44</v>
      </c>
      <c r="D63" s="7">
        <v>1</v>
      </c>
      <c r="E63" s="6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6.2" thickBot="1" x14ac:dyDescent="0.35">
      <c r="A64" s="1"/>
      <c r="B64" s="10" t="s">
        <v>8</v>
      </c>
      <c r="C64" s="12" t="s">
        <v>45</v>
      </c>
      <c r="D64" s="8">
        <v>0</v>
      </c>
      <c r="E64" s="6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</sheetData>
  <sheetProtection algorithmName="SHA-512" hashValue="4H+EYszkroOguvvgUrxPy246sA3RLlyjjtZh9mT0FtZylrlgASoe3XpvREw8N1Jh8fLBsaTCR7YTC4aD7K2N+A==" saltValue="Cnd7NY1DJiI76cWeNC/Wjw==" spinCount="100000" sheet="1" objects="1" scenarios="1"/>
  <mergeCells count="45">
    <mergeCell ref="AH6:AH7"/>
    <mergeCell ref="AI6:AI7"/>
    <mergeCell ref="A48:B48"/>
    <mergeCell ref="AD48:AJ48"/>
    <mergeCell ref="A1:AJ1"/>
    <mergeCell ref="A3:B3"/>
    <mergeCell ref="A5:A7"/>
    <mergeCell ref="AB5:AE5"/>
    <mergeCell ref="AF5:AI5"/>
    <mergeCell ref="AJ5:AJ7"/>
    <mergeCell ref="AB6:AB7"/>
    <mergeCell ref="AC6:AC7"/>
    <mergeCell ref="C3:AJ3"/>
    <mergeCell ref="AG6:AG7"/>
    <mergeCell ref="AF6:AF7"/>
    <mergeCell ref="AK49:AK51"/>
    <mergeCell ref="A51:B51"/>
    <mergeCell ref="A52:B52"/>
    <mergeCell ref="AD52:AE52"/>
    <mergeCell ref="A53:B53"/>
    <mergeCell ref="AD53:AE53"/>
    <mergeCell ref="A49:B49"/>
    <mergeCell ref="AD49:AE51"/>
    <mergeCell ref="AF49:AF51"/>
    <mergeCell ref="AH49:AH51"/>
    <mergeCell ref="AI49:AI51"/>
    <mergeCell ref="AJ49:AJ51"/>
    <mergeCell ref="A50:B50"/>
    <mergeCell ref="AG49:AG51"/>
    <mergeCell ref="AD54:AE54"/>
    <mergeCell ref="AD55:AE55"/>
    <mergeCell ref="A56:B56"/>
    <mergeCell ref="AD56:AE56"/>
    <mergeCell ref="AD6:AD7"/>
    <mergeCell ref="AE6:AE7"/>
    <mergeCell ref="B60:D60"/>
    <mergeCell ref="C5:L5"/>
    <mergeCell ref="M5:R5"/>
    <mergeCell ref="S5:X5"/>
    <mergeCell ref="Y5:AA5"/>
    <mergeCell ref="A57:B57"/>
    <mergeCell ref="C57:L57"/>
    <mergeCell ref="M57:R57"/>
    <mergeCell ref="S57:X57"/>
    <mergeCell ref="Y57:AA57"/>
  </mergeCells>
  <conditionalFormatting sqref="AJ8:AJ47 C56:AA56">
    <cfRule type="expression" dxfId="35" priority="42">
      <formula>C8="Logrado"</formula>
    </cfRule>
    <cfRule type="expression" dxfId="34" priority="43">
      <formula>C8="Proceso"</formula>
    </cfRule>
    <cfRule type="expression" dxfId="33" priority="44">
      <formula>C8="Inicio"</formula>
    </cfRule>
    <cfRule type="expression" dxfId="32" priority="45">
      <formula>C8="Previo al Inicio"</formula>
    </cfRule>
  </conditionalFormatting>
  <conditionalFormatting sqref="AF8:AI47">
    <cfRule type="expression" dxfId="31" priority="38">
      <formula>AF8="Previo al inicio"</formula>
    </cfRule>
    <cfRule type="expression" dxfId="30" priority="39">
      <formula>AF8="Inicio"</formula>
    </cfRule>
    <cfRule type="expression" dxfId="29" priority="40">
      <formula>AF8="Proceso"</formula>
    </cfRule>
    <cfRule type="expression" dxfId="28" priority="41">
      <formula>AF8="Logrado"</formula>
    </cfRule>
  </conditionalFormatting>
  <conditionalFormatting sqref="C57 M57 S57 Y57">
    <cfRule type="expression" dxfId="27" priority="34">
      <formula>C57="Previo al inicio"</formula>
    </cfRule>
    <cfRule type="expression" dxfId="26" priority="35">
      <formula>C57="Inicio"</formula>
    </cfRule>
    <cfRule type="expression" dxfId="25" priority="36">
      <formula>C57="Proceso"</formula>
    </cfRule>
    <cfRule type="expression" dxfId="24" priority="37">
      <formula>C57="Logrado"</formula>
    </cfRule>
  </conditionalFormatting>
  <dataValidations count="1">
    <dataValidation type="list" showInputMessage="1" showErrorMessage="1" sqref="D61:D64 C8:AA47" xr:uid="{00000000-0002-0000-0300-000000000000}">
      <formula1>"0,1,2,3"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ED7979E1-B26F-4E61-A9F0-A3442451F780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E61:F62</xm:sqref>
        </x14:conditionalFormatting>
        <x14:conditionalFormatting xmlns:xm="http://schemas.microsoft.com/office/excel/2006/main">
          <x14:cfRule type="iconSet" priority="32" id="{9DF20199-040B-40F3-856B-FA6386D88091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E63:F63</xm:sqref>
        </x14:conditionalFormatting>
        <x14:conditionalFormatting xmlns:xm="http://schemas.microsoft.com/office/excel/2006/main">
          <x14:cfRule type="iconSet" priority="31" id="{706A5455-A0ED-4AA3-A2A9-B582BDD5B4A6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E64:F64</xm:sqref>
        </x14:conditionalFormatting>
        <x14:conditionalFormatting xmlns:xm="http://schemas.microsoft.com/office/excel/2006/main">
          <x14:cfRule type="iconSet" priority="46" id="{0C70EE7D-4FF2-4EDF-84FA-13768D2B2B45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C20:AA20 C26:AA26 C32:AA32 C38:AA38 C44:AA44 C8:AA14</xm:sqref>
        </x14:conditionalFormatting>
        <x14:conditionalFormatting xmlns:xm="http://schemas.microsoft.com/office/excel/2006/main">
          <x14:cfRule type="iconSet" priority="15" id="{44D9D7C7-9DB6-42EE-8629-82AE67F99E87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C15:AA19</xm:sqref>
        </x14:conditionalFormatting>
        <x14:conditionalFormatting xmlns:xm="http://schemas.microsoft.com/office/excel/2006/main">
          <x14:cfRule type="iconSet" priority="14" id="{D354AD9A-9BC0-4CED-88A7-492F6C44D256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C21:AA25</xm:sqref>
        </x14:conditionalFormatting>
        <x14:conditionalFormatting xmlns:xm="http://schemas.microsoft.com/office/excel/2006/main">
          <x14:cfRule type="iconSet" priority="13" id="{C90D7554-940C-4461-A023-6BE1DA7E8DDF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C27:AA31</xm:sqref>
        </x14:conditionalFormatting>
        <x14:conditionalFormatting xmlns:xm="http://schemas.microsoft.com/office/excel/2006/main">
          <x14:cfRule type="iconSet" priority="12" id="{2E780473-9B46-4F38-B892-C6A9FA49CCF7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C33:AA37</xm:sqref>
        </x14:conditionalFormatting>
        <x14:conditionalFormatting xmlns:xm="http://schemas.microsoft.com/office/excel/2006/main">
          <x14:cfRule type="iconSet" priority="11" id="{A2535A1F-67D5-47B1-8799-746931976DB1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C39:AA43</xm:sqref>
        </x14:conditionalFormatting>
        <x14:conditionalFormatting xmlns:xm="http://schemas.microsoft.com/office/excel/2006/main">
          <x14:cfRule type="iconSet" priority="10" id="{276D6D28-C7BB-4E85-A7BD-E7BA2E0AB43A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C45:AA47</xm:sqref>
        </x14:conditionalFormatting>
        <x14:conditionalFormatting xmlns:xm="http://schemas.microsoft.com/office/excel/2006/main">
          <x14:cfRule type="iconSet" priority="9" id="{02177020-C560-48BA-9C1D-C63F9FD366FF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D61:D64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77"/>
  <sheetViews>
    <sheetView topLeftCell="B1" zoomScale="50" zoomScaleNormal="50" workbookViewId="0">
      <selection activeCell="AB10" sqref="AB10"/>
    </sheetView>
  </sheetViews>
  <sheetFormatPr baseColWidth="10" defaultColWidth="11.44140625" defaultRowHeight="14.4" x14ac:dyDescent="0.3"/>
  <cols>
    <col min="1" max="1" width="6.44140625" style="108" customWidth="1"/>
    <col min="2" max="2" width="44" style="108" customWidth="1"/>
    <col min="3" max="27" width="12.6640625" style="108" customWidth="1"/>
    <col min="28" max="31" width="10.6640625" style="108" customWidth="1"/>
    <col min="32" max="35" width="22.33203125" style="108" customWidth="1"/>
    <col min="36" max="36" width="21" style="108" customWidth="1"/>
    <col min="37" max="37" width="11.44140625" style="108"/>
    <col min="38" max="38" width="17.5546875" style="108" customWidth="1"/>
    <col min="39" max="16384" width="11.44140625" style="108"/>
  </cols>
  <sheetData>
    <row r="1" spans="1:40" ht="33.6" thickBot="1" x14ac:dyDescent="0.65">
      <c r="A1" s="129" t="s">
        <v>75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1"/>
      <c r="AK1" s="15"/>
      <c r="AL1" s="15"/>
      <c r="AM1" s="15"/>
      <c r="AN1" s="15"/>
    </row>
    <row r="2" spans="1:40" ht="16.2" thickBo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 spans="1:40" ht="21.6" thickBot="1" x14ac:dyDescent="0.45">
      <c r="A3" s="132" t="s">
        <v>0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6"/>
      <c r="AK3" s="15"/>
      <c r="AL3" s="15"/>
      <c r="AM3" s="15"/>
      <c r="AN3" s="15"/>
    </row>
    <row r="4" spans="1:40" ht="16.2" thickBot="1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5"/>
      <c r="AL4" s="15"/>
      <c r="AM4" s="15"/>
      <c r="AN4" s="15"/>
    </row>
    <row r="5" spans="1:40" ht="52.5" customHeight="1" thickBot="1" x14ac:dyDescent="0.35">
      <c r="A5" s="137" t="s">
        <v>1</v>
      </c>
      <c r="B5" s="17" t="s">
        <v>2</v>
      </c>
      <c r="C5" s="139" t="s">
        <v>50</v>
      </c>
      <c r="D5" s="140"/>
      <c r="E5" s="140"/>
      <c r="F5" s="140"/>
      <c r="G5" s="140"/>
      <c r="H5" s="140"/>
      <c r="I5" s="140"/>
      <c r="J5" s="140"/>
      <c r="K5" s="213"/>
      <c r="L5" s="139" t="s">
        <v>58</v>
      </c>
      <c r="M5" s="140"/>
      <c r="N5" s="140"/>
      <c r="O5" s="140"/>
      <c r="P5" s="140"/>
      <c r="Q5" s="213"/>
      <c r="R5" s="139" t="s">
        <v>64</v>
      </c>
      <c r="S5" s="140"/>
      <c r="T5" s="140"/>
      <c r="U5" s="140"/>
      <c r="V5" s="140"/>
      <c r="W5" s="234"/>
      <c r="X5" s="213"/>
      <c r="Y5" s="139" t="s">
        <v>66</v>
      </c>
      <c r="Z5" s="140"/>
      <c r="AA5" s="213"/>
      <c r="AB5" s="141" t="s">
        <v>3</v>
      </c>
      <c r="AC5" s="142"/>
      <c r="AD5" s="143"/>
      <c r="AE5" s="144"/>
      <c r="AF5" s="145" t="s">
        <v>2</v>
      </c>
      <c r="AG5" s="214"/>
      <c r="AH5" s="214"/>
      <c r="AI5" s="215"/>
      <c r="AJ5" s="216" t="s">
        <v>4</v>
      </c>
      <c r="AK5" s="15"/>
      <c r="AL5" s="15"/>
      <c r="AM5" s="15"/>
      <c r="AN5" s="15"/>
    </row>
    <row r="6" spans="1:40" ht="151.5" customHeight="1" thickBot="1" x14ac:dyDescent="0.35">
      <c r="A6" s="138"/>
      <c r="B6" s="18" t="s">
        <v>5</v>
      </c>
      <c r="C6" s="98" t="s">
        <v>47</v>
      </c>
      <c r="D6" s="99" t="s">
        <v>47</v>
      </c>
      <c r="E6" s="99" t="s">
        <v>47</v>
      </c>
      <c r="F6" s="99" t="s">
        <v>48</v>
      </c>
      <c r="G6" s="99" t="s">
        <v>48</v>
      </c>
      <c r="H6" s="99" t="s">
        <v>46</v>
      </c>
      <c r="I6" s="99" t="s">
        <v>49</v>
      </c>
      <c r="J6" s="99" t="s">
        <v>47</v>
      </c>
      <c r="K6" s="101" t="s">
        <v>46</v>
      </c>
      <c r="L6" s="109" t="s">
        <v>71</v>
      </c>
      <c r="M6" s="110" t="s">
        <v>57</v>
      </c>
      <c r="N6" s="110" t="s">
        <v>51</v>
      </c>
      <c r="O6" s="110" t="s">
        <v>71</v>
      </c>
      <c r="P6" s="110" t="s">
        <v>51</v>
      </c>
      <c r="Q6" s="111" t="s">
        <v>52</v>
      </c>
      <c r="R6" s="112" t="s">
        <v>62</v>
      </c>
      <c r="S6" s="110" t="s">
        <v>59</v>
      </c>
      <c r="T6" s="110" t="s">
        <v>61</v>
      </c>
      <c r="U6" s="110" t="s">
        <v>60</v>
      </c>
      <c r="V6" s="110" t="s">
        <v>59</v>
      </c>
      <c r="W6" s="110" t="s">
        <v>61</v>
      </c>
      <c r="X6" s="113" t="s">
        <v>62</v>
      </c>
      <c r="Y6" s="109" t="s">
        <v>65</v>
      </c>
      <c r="Z6" s="110" t="s">
        <v>73</v>
      </c>
      <c r="AA6" s="114" t="s">
        <v>74</v>
      </c>
      <c r="AB6" s="235" t="s">
        <v>6</v>
      </c>
      <c r="AC6" s="201" t="s">
        <v>68</v>
      </c>
      <c r="AD6" s="203" t="s">
        <v>7</v>
      </c>
      <c r="AE6" s="125" t="s">
        <v>8</v>
      </c>
      <c r="AF6" s="127" t="s">
        <v>50</v>
      </c>
      <c r="AG6" s="218" t="s">
        <v>58</v>
      </c>
      <c r="AH6" s="220" t="s">
        <v>64</v>
      </c>
      <c r="AI6" s="218" t="s">
        <v>66</v>
      </c>
      <c r="AJ6" s="217"/>
      <c r="AK6" s="15"/>
      <c r="AL6" s="15"/>
      <c r="AM6" s="15"/>
      <c r="AN6" s="15"/>
    </row>
    <row r="7" spans="1:40" ht="24" customHeight="1" thickBot="1" x14ac:dyDescent="0.35">
      <c r="A7" s="138"/>
      <c r="B7" s="22" t="s">
        <v>9</v>
      </c>
      <c r="C7" s="102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03" t="s">
        <v>16</v>
      </c>
      <c r="J7" s="103" t="s">
        <v>17</v>
      </c>
      <c r="K7" s="104" t="s">
        <v>18</v>
      </c>
      <c r="L7" s="102" t="s">
        <v>19</v>
      </c>
      <c r="M7" s="103" t="s">
        <v>20</v>
      </c>
      <c r="N7" s="103" t="s">
        <v>21</v>
      </c>
      <c r="O7" s="103" t="s">
        <v>22</v>
      </c>
      <c r="P7" s="103" t="s">
        <v>23</v>
      </c>
      <c r="Q7" s="103" t="s">
        <v>24</v>
      </c>
      <c r="R7" s="102" t="s">
        <v>25</v>
      </c>
      <c r="S7" s="103" t="s">
        <v>26</v>
      </c>
      <c r="T7" s="103" t="s">
        <v>27</v>
      </c>
      <c r="U7" s="103" t="s">
        <v>28</v>
      </c>
      <c r="V7" s="103" t="s">
        <v>29</v>
      </c>
      <c r="W7" s="103" t="s">
        <v>53</v>
      </c>
      <c r="X7" s="103" t="s">
        <v>54</v>
      </c>
      <c r="Y7" s="102" t="s">
        <v>55</v>
      </c>
      <c r="Z7" s="103" t="s">
        <v>56</v>
      </c>
      <c r="AA7" s="104" t="s">
        <v>67</v>
      </c>
      <c r="AB7" s="200"/>
      <c r="AC7" s="202"/>
      <c r="AD7" s="204"/>
      <c r="AE7" s="126"/>
      <c r="AF7" s="128"/>
      <c r="AG7" s="219"/>
      <c r="AH7" s="221"/>
      <c r="AI7" s="219"/>
      <c r="AJ7" s="217"/>
      <c r="AK7" s="15"/>
      <c r="AL7" s="15"/>
      <c r="AM7" s="15"/>
      <c r="AN7" s="15"/>
    </row>
    <row r="8" spans="1:40" ht="20.100000000000001" customHeight="1" x14ac:dyDescent="0.3">
      <c r="A8" s="27">
        <v>1</v>
      </c>
      <c r="B8" s="28"/>
      <c r="C8" s="29">
        <v>3</v>
      </c>
      <c r="D8" s="30">
        <v>3</v>
      </c>
      <c r="E8" s="30">
        <v>3</v>
      </c>
      <c r="F8" s="30">
        <v>3</v>
      </c>
      <c r="G8" s="30">
        <v>3</v>
      </c>
      <c r="H8" s="30">
        <v>0</v>
      </c>
      <c r="I8" s="30">
        <v>0</v>
      </c>
      <c r="J8" s="30">
        <v>3</v>
      </c>
      <c r="K8" s="90">
        <v>3</v>
      </c>
      <c r="L8" s="29">
        <v>3</v>
      </c>
      <c r="M8" s="30">
        <v>1</v>
      </c>
      <c r="N8" s="30">
        <v>1</v>
      </c>
      <c r="O8" s="30">
        <v>1</v>
      </c>
      <c r="P8" s="30">
        <v>3</v>
      </c>
      <c r="Q8" s="90">
        <v>3</v>
      </c>
      <c r="R8" s="29">
        <v>3</v>
      </c>
      <c r="S8" s="30">
        <v>3</v>
      </c>
      <c r="T8" s="30">
        <v>3</v>
      </c>
      <c r="U8" s="30">
        <v>3</v>
      </c>
      <c r="V8" s="30">
        <v>3</v>
      </c>
      <c r="W8" s="31">
        <v>3</v>
      </c>
      <c r="X8" s="90">
        <v>3</v>
      </c>
      <c r="Y8" s="29">
        <v>0</v>
      </c>
      <c r="Z8" s="30">
        <v>0</v>
      </c>
      <c r="AA8" s="90">
        <v>0</v>
      </c>
      <c r="AB8" s="63">
        <f t="shared" ref="AB8:AB47" si="0">COUNTIF(C8:AA8,3)</f>
        <v>17</v>
      </c>
      <c r="AC8" s="63">
        <f t="shared" ref="AC8:AC47" si="1">COUNTIF(C8:AA8,2)</f>
        <v>0</v>
      </c>
      <c r="AD8" s="64">
        <f t="shared" ref="AD8:AD47" si="2">COUNTIF(C8:AA8,1)</f>
        <v>3</v>
      </c>
      <c r="AE8" s="63">
        <f t="shared" ref="AE8:AE47" si="3">COUNTIF(C8:AA8,0)</f>
        <v>5</v>
      </c>
      <c r="AF8" s="65" t="str">
        <f>IF(COUNTA(C8:K8)=0,"",
   IF(COUNTIF(C8:K8,3)&lt;=2,"Previo al Inicio",
      IF(COUNTIF(C8:K8,3)&lt;=4,"Inicio",
         IF(COUNTIF(C8:K8,3)&lt;=7,"Proceso",
            IF(COUNTIF(C8:K8,3)&lt;=9,"Logrado","")))))</f>
        <v>Proceso</v>
      </c>
      <c r="AG8" s="63" t="str">
        <f>IF(COUNTA(L8:Q8)=0,"",
   IF(COUNTIF(L8:Q8,3)&lt;=1,"Previo al Inicio",
      IF(COUNTIF(L8:Q8,3)&lt;=3,"Inicio",
         IF(COUNTIF(L8:Q8,3)&lt;=5,"Proceso",
            IF(COUNTIF(L8:Q8,3)=6,"Logrado","")))))</f>
        <v>Inicio</v>
      </c>
      <c r="AH8" s="64" t="str">
        <f>IF(COUNTA(R8:X8)=0,"",
   IF(COUNTIF(R8:X8,3)&lt;=1,"Previo al Inicio",
      IF(COUNTIF(R8:X8,3)&lt;=3,"Inicio",
         IF(COUNTIF(R8:X8,3)&lt;=5,"Proceso",
            IF(COUNTIF(R8:X8,3)&lt;=7,"Logrado","")))))</f>
        <v>Logrado</v>
      </c>
      <c r="AI8" s="63" t="str">
        <f>IF(COUNTA(Y8:AA8)=0,"",
   IF(COUNTIF(Y8:AA8,3)=0,"Previo al Inicio",
      IF(COUNTIF(Y8:AA8,3)=1,"Inicio",
         IF(COUNTIF(Y8:AA8,3)=2,"Proceso",
            IF(COUNTIF(Y8:AA8,3)=3,"Logrado","")))))</f>
        <v>Previo al Inicio</v>
      </c>
      <c r="AJ8" s="70" t="str">
        <f>IF(COUNTA(C8:AA8)=0,"",
   IF(COUNTIF(C8:AA8,3)&lt;=6,"Previo al Inicio",
      IF(COUNTIF(C8:AA8,3)&lt;=13,"Inicio",
         IF(COUNTIF(C8:AA8,3)&lt;=20,"Proceso",
            IF(COUNTIF(C8:AA8,3)&lt;=25,"Logrado","")))))</f>
        <v>Proceso</v>
      </c>
      <c r="AK8" s="15"/>
      <c r="AL8" s="15"/>
      <c r="AM8" s="15"/>
      <c r="AN8" s="15"/>
    </row>
    <row r="9" spans="1:40" ht="20.100000000000001" customHeight="1" x14ac:dyDescent="0.3">
      <c r="A9" s="33">
        <v>2</v>
      </c>
      <c r="B9" s="34"/>
      <c r="C9" s="35"/>
      <c r="D9" s="36"/>
      <c r="E9" s="36"/>
      <c r="F9" s="36"/>
      <c r="G9" s="36"/>
      <c r="H9" s="36"/>
      <c r="I9" s="36"/>
      <c r="J9" s="36"/>
      <c r="K9" s="91"/>
      <c r="L9" s="35">
        <v>3</v>
      </c>
      <c r="M9" s="36">
        <v>3</v>
      </c>
      <c r="N9" s="36">
        <v>3</v>
      </c>
      <c r="O9" s="36"/>
      <c r="P9" s="36">
        <v>3</v>
      </c>
      <c r="Q9" s="91"/>
      <c r="R9" s="35">
        <v>3</v>
      </c>
      <c r="S9" s="36">
        <v>3</v>
      </c>
      <c r="T9" s="36"/>
      <c r="U9" s="36">
        <v>2</v>
      </c>
      <c r="V9" s="36"/>
      <c r="W9" s="37"/>
      <c r="X9" s="91"/>
      <c r="Y9" s="35"/>
      <c r="Z9" s="36"/>
      <c r="AA9" s="91"/>
      <c r="AB9" s="66">
        <f t="shared" si="0"/>
        <v>6</v>
      </c>
      <c r="AC9" s="66">
        <f t="shared" si="1"/>
        <v>1</v>
      </c>
      <c r="AD9" s="67">
        <f t="shared" si="2"/>
        <v>0</v>
      </c>
      <c r="AE9" s="66">
        <f t="shared" si="3"/>
        <v>0</v>
      </c>
      <c r="AF9" s="65" t="str">
        <f t="shared" ref="AF9:AF47" si="4">IF(COUNTA(C9:K9)=0,"",
   IF(COUNTIF(C9:K9,3)&lt;=2,"Previo al Inicio",
      IF(COUNTIF(C9:K9,3)&lt;=4,"Inicio",
         IF(COUNTIF(C9:K9,3)&lt;=7,"Proceso",
            IF(COUNTIF(C9:K9,3)&lt;=9,"Logrado","")))))</f>
        <v/>
      </c>
      <c r="AG9" s="63" t="str">
        <f t="shared" ref="AG9:AG47" si="5">IF(COUNTA(L9:Q9)=0,"",
   IF(COUNTIF(L9:Q9,3)&lt;=1,"Previo al Inicio",
      IF(COUNTIF(L9:Q9,3)&lt;=3,"Inicio",
         IF(COUNTIF(L9:Q9,3)&lt;=5,"Proceso",
            IF(COUNTIF(L9:Q9,3)=6,"Logrado","")))))</f>
        <v>Proceso</v>
      </c>
      <c r="AH9" s="64" t="str">
        <f t="shared" ref="AH9:AH47" si="6">IF(COUNTA(R9:X9)=0,"",
   IF(COUNTIF(R9:X9,3)&lt;=1,"Previo al Inicio",
      IF(COUNTIF(R9:X9,3)&lt;=3,"Inicio",
         IF(COUNTIF(R9:X9,3)&lt;=5,"Proceso",
            IF(COUNTIF(R9:X9,3)&lt;=7,"Logrado","")))))</f>
        <v>Inicio</v>
      </c>
      <c r="AI9" s="63" t="str">
        <f t="shared" ref="AI9:AI47" si="7">IF(COUNTA(Y9:AA9)=0,"",
   IF(COUNTIF(Y9:AA9,3)=0,"Previo al Inicio",
      IF(COUNTIF(Y9:AA9,3)=1,"Inicio",
         IF(COUNTIF(Y9:AA9,3)=2,"Proceso",
            IF(COUNTIF(Y9:AA9,3)=3,"Logrado","")))))</f>
        <v/>
      </c>
      <c r="AJ9" s="70" t="str">
        <f t="shared" ref="AJ9:AJ47" si="8">IF(COUNTA(C9:AA9)=0,"",
   IF(COUNTIF(C9:AA9,3)&lt;=6,"Previo al Inicio",
      IF(COUNTIF(C9:AA9,3)&lt;=13,"Inicio",
         IF(COUNTIF(C9:AA9,3)&lt;=20,"Proceso",
            IF(COUNTIF(C9:AA9,3)&lt;=25,"Logrado","")))))</f>
        <v>Previo al Inicio</v>
      </c>
      <c r="AK9" s="15"/>
      <c r="AL9" s="15"/>
      <c r="AM9" s="15"/>
      <c r="AN9" s="15"/>
    </row>
    <row r="10" spans="1:40" ht="20.100000000000001" customHeight="1" x14ac:dyDescent="0.3">
      <c r="A10" s="27">
        <v>3</v>
      </c>
      <c r="B10" s="38"/>
      <c r="C10" s="39"/>
      <c r="D10" s="40"/>
      <c r="E10" s="40"/>
      <c r="F10" s="40"/>
      <c r="G10" s="40"/>
      <c r="H10" s="40"/>
      <c r="I10" s="40"/>
      <c r="J10" s="40"/>
      <c r="K10" s="92"/>
      <c r="L10" s="39">
        <v>3</v>
      </c>
      <c r="M10" s="40">
        <v>3</v>
      </c>
      <c r="N10" s="40">
        <v>3</v>
      </c>
      <c r="O10" s="40"/>
      <c r="P10" s="40">
        <v>3</v>
      </c>
      <c r="Q10" s="92"/>
      <c r="R10" s="39"/>
      <c r="S10" s="40"/>
      <c r="T10" s="40"/>
      <c r="U10" s="40"/>
      <c r="V10" s="40"/>
      <c r="W10" s="41"/>
      <c r="X10" s="92"/>
      <c r="Y10" s="39"/>
      <c r="Z10" s="40"/>
      <c r="AA10" s="92">
        <v>3</v>
      </c>
      <c r="AB10" s="62">
        <f t="shared" si="0"/>
        <v>5</v>
      </c>
      <c r="AC10" s="62">
        <f t="shared" si="1"/>
        <v>0</v>
      </c>
      <c r="AD10" s="68">
        <f t="shared" si="2"/>
        <v>0</v>
      </c>
      <c r="AE10" s="62">
        <f t="shared" si="3"/>
        <v>0</v>
      </c>
      <c r="AF10" s="65" t="str">
        <f t="shared" si="4"/>
        <v/>
      </c>
      <c r="AG10" s="63" t="str">
        <f t="shared" si="5"/>
        <v>Proceso</v>
      </c>
      <c r="AH10" s="64" t="str">
        <f t="shared" si="6"/>
        <v/>
      </c>
      <c r="AI10" s="63" t="str">
        <f t="shared" si="7"/>
        <v>Inicio</v>
      </c>
      <c r="AJ10" s="70" t="str">
        <f t="shared" si="8"/>
        <v>Previo al Inicio</v>
      </c>
      <c r="AK10" s="15"/>
      <c r="AL10" s="15"/>
      <c r="AM10" s="15"/>
      <c r="AN10" s="15"/>
    </row>
    <row r="11" spans="1:40" ht="20.100000000000001" customHeight="1" x14ac:dyDescent="0.3">
      <c r="A11" s="33">
        <v>4</v>
      </c>
      <c r="B11" s="34"/>
      <c r="C11" s="35"/>
      <c r="D11" s="36"/>
      <c r="E11" s="36"/>
      <c r="F11" s="36"/>
      <c r="G11" s="36"/>
      <c r="H11" s="36"/>
      <c r="I11" s="36"/>
      <c r="J11" s="36"/>
      <c r="K11" s="91"/>
      <c r="L11" s="35"/>
      <c r="M11" s="36"/>
      <c r="N11" s="36"/>
      <c r="O11" s="36"/>
      <c r="P11" s="36"/>
      <c r="Q11" s="91"/>
      <c r="R11" s="35"/>
      <c r="S11" s="36"/>
      <c r="T11" s="36"/>
      <c r="U11" s="36"/>
      <c r="V11" s="36"/>
      <c r="W11" s="37"/>
      <c r="X11" s="91"/>
      <c r="Y11" s="35"/>
      <c r="Z11" s="36"/>
      <c r="AA11" s="91"/>
      <c r="AB11" s="66">
        <f t="shared" si="0"/>
        <v>0</v>
      </c>
      <c r="AC11" s="66">
        <f t="shared" si="1"/>
        <v>0</v>
      </c>
      <c r="AD11" s="67">
        <f t="shared" si="2"/>
        <v>0</v>
      </c>
      <c r="AE11" s="66">
        <f t="shared" si="3"/>
        <v>0</v>
      </c>
      <c r="AF11" s="65" t="str">
        <f t="shared" si="4"/>
        <v/>
      </c>
      <c r="AG11" s="63" t="str">
        <f t="shared" si="5"/>
        <v/>
      </c>
      <c r="AH11" s="64" t="str">
        <f t="shared" si="6"/>
        <v/>
      </c>
      <c r="AI11" s="63" t="str">
        <f t="shared" si="7"/>
        <v/>
      </c>
      <c r="AJ11" s="70" t="str">
        <f t="shared" si="8"/>
        <v/>
      </c>
      <c r="AK11" s="15"/>
      <c r="AL11" s="15"/>
      <c r="AM11" s="15"/>
      <c r="AN11" s="15"/>
    </row>
    <row r="12" spans="1:40" ht="20.100000000000001" customHeight="1" x14ac:dyDescent="0.3">
      <c r="A12" s="27">
        <v>5</v>
      </c>
      <c r="B12" s="38"/>
      <c r="C12" s="39"/>
      <c r="D12" s="40"/>
      <c r="E12" s="40"/>
      <c r="F12" s="40"/>
      <c r="G12" s="40"/>
      <c r="H12" s="40"/>
      <c r="I12" s="40"/>
      <c r="J12" s="40"/>
      <c r="K12" s="92"/>
      <c r="L12" s="39"/>
      <c r="M12" s="40"/>
      <c r="N12" s="40"/>
      <c r="O12" s="40"/>
      <c r="P12" s="40"/>
      <c r="Q12" s="92"/>
      <c r="R12" s="39"/>
      <c r="S12" s="40"/>
      <c r="T12" s="40"/>
      <c r="U12" s="40"/>
      <c r="V12" s="40"/>
      <c r="W12" s="41"/>
      <c r="X12" s="92"/>
      <c r="Y12" s="39"/>
      <c r="Z12" s="40"/>
      <c r="AA12" s="92"/>
      <c r="AB12" s="62">
        <f t="shared" si="0"/>
        <v>0</v>
      </c>
      <c r="AC12" s="62">
        <f t="shared" si="1"/>
        <v>0</v>
      </c>
      <c r="AD12" s="68">
        <f t="shared" si="2"/>
        <v>0</v>
      </c>
      <c r="AE12" s="62">
        <f t="shared" si="3"/>
        <v>0</v>
      </c>
      <c r="AF12" s="65" t="str">
        <f t="shared" si="4"/>
        <v/>
      </c>
      <c r="AG12" s="63" t="str">
        <f t="shared" si="5"/>
        <v/>
      </c>
      <c r="AH12" s="64" t="str">
        <f t="shared" si="6"/>
        <v/>
      </c>
      <c r="AI12" s="63" t="str">
        <f t="shared" si="7"/>
        <v/>
      </c>
      <c r="AJ12" s="70" t="str">
        <f t="shared" si="8"/>
        <v/>
      </c>
      <c r="AK12" s="15"/>
      <c r="AL12" s="15"/>
      <c r="AM12" s="15"/>
      <c r="AN12" s="15"/>
    </row>
    <row r="13" spans="1:40" ht="20.100000000000001" customHeight="1" x14ac:dyDescent="0.3">
      <c r="A13" s="33">
        <v>6</v>
      </c>
      <c r="B13" s="34"/>
      <c r="C13" s="35"/>
      <c r="D13" s="36"/>
      <c r="E13" s="36"/>
      <c r="F13" s="36"/>
      <c r="G13" s="36"/>
      <c r="H13" s="36"/>
      <c r="I13" s="36"/>
      <c r="J13" s="36"/>
      <c r="K13" s="91"/>
      <c r="L13" s="35"/>
      <c r="M13" s="36"/>
      <c r="N13" s="36"/>
      <c r="O13" s="36"/>
      <c r="P13" s="36"/>
      <c r="Q13" s="91"/>
      <c r="R13" s="35"/>
      <c r="S13" s="36"/>
      <c r="T13" s="36"/>
      <c r="U13" s="36"/>
      <c r="V13" s="36"/>
      <c r="W13" s="37"/>
      <c r="X13" s="91"/>
      <c r="Y13" s="35"/>
      <c r="Z13" s="36"/>
      <c r="AA13" s="91"/>
      <c r="AB13" s="66">
        <f t="shared" si="0"/>
        <v>0</v>
      </c>
      <c r="AC13" s="66">
        <f t="shared" si="1"/>
        <v>0</v>
      </c>
      <c r="AD13" s="67">
        <f t="shared" si="2"/>
        <v>0</v>
      </c>
      <c r="AE13" s="66">
        <f t="shared" si="3"/>
        <v>0</v>
      </c>
      <c r="AF13" s="65" t="str">
        <f t="shared" si="4"/>
        <v/>
      </c>
      <c r="AG13" s="63" t="str">
        <f t="shared" si="5"/>
        <v/>
      </c>
      <c r="AH13" s="64" t="str">
        <f t="shared" si="6"/>
        <v/>
      </c>
      <c r="AI13" s="63" t="str">
        <f t="shared" si="7"/>
        <v/>
      </c>
      <c r="AJ13" s="70" t="str">
        <f t="shared" si="8"/>
        <v/>
      </c>
      <c r="AK13" s="15"/>
      <c r="AL13" s="15"/>
      <c r="AM13" s="15"/>
      <c r="AN13" s="15"/>
    </row>
    <row r="14" spans="1:40" ht="20.100000000000001" customHeight="1" x14ac:dyDescent="0.3">
      <c r="A14" s="27">
        <v>7</v>
      </c>
      <c r="B14" s="38"/>
      <c r="C14" s="39"/>
      <c r="D14" s="40"/>
      <c r="E14" s="40"/>
      <c r="F14" s="40"/>
      <c r="G14" s="40"/>
      <c r="H14" s="40"/>
      <c r="I14" s="40"/>
      <c r="J14" s="40"/>
      <c r="K14" s="92"/>
      <c r="L14" s="39"/>
      <c r="M14" s="40"/>
      <c r="N14" s="40"/>
      <c r="O14" s="40"/>
      <c r="P14" s="40"/>
      <c r="Q14" s="92"/>
      <c r="R14" s="39"/>
      <c r="S14" s="40"/>
      <c r="T14" s="40"/>
      <c r="U14" s="40"/>
      <c r="V14" s="40"/>
      <c r="W14" s="41"/>
      <c r="X14" s="92"/>
      <c r="Y14" s="39"/>
      <c r="Z14" s="40"/>
      <c r="AA14" s="92"/>
      <c r="AB14" s="62">
        <f t="shared" si="0"/>
        <v>0</v>
      </c>
      <c r="AC14" s="62">
        <f t="shared" si="1"/>
        <v>0</v>
      </c>
      <c r="AD14" s="68">
        <f t="shared" si="2"/>
        <v>0</v>
      </c>
      <c r="AE14" s="62">
        <f t="shared" si="3"/>
        <v>0</v>
      </c>
      <c r="AF14" s="65" t="str">
        <f t="shared" si="4"/>
        <v/>
      </c>
      <c r="AG14" s="63" t="str">
        <f t="shared" si="5"/>
        <v/>
      </c>
      <c r="AH14" s="64" t="str">
        <f t="shared" si="6"/>
        <v/>
      </c>
      <c r="AI14" s="63" t="str">
        <f t="shared" si="7"/>
        <v/>
      </c>
      <c r="AJ14" s="70" t="str">
        <f t="shared" si="8"/>
        <v/>
      </c>
      <c r="AK14" s="15"/>
      <c r="AL14" s="15"/>
      <c r="AM14" s="15"/>
      <c r="AN14" s="15"/>
    </row>
    <row r="15" spans="1:40" ht="20.100000000000001" customHeight="1" x14ac:dyDescent="0.3">
      <c r="A15" s="33">
        <v>8</v>
      </c>
      <c r="B15" s="34"/>
      <c r="C15" s="35"/>
      <c r="D15" s="36"/>
      <c r="E15" s="36"/>
      <c r="F15" s="36"/>
      <c r="G15" s="36"/>
      <c r="H15" s="36"/>
      <c r="I15" s="36"/>
      <c r="J15" s="36"/>
      <c r="K15" s="91"/>
      <c r="L15" s="35"/>
      <c r="M15" s="36"/>
      <c r="N15" s="36"/>
      <c r="O15" s="36"/>
      <c r="P15" s="36"/>
      <c r="Q15" s="91"/>
      <c r="R15" s="35"/>
      <c r="S15" s="36"/>
      <c r="T15" s="36"/>
      <c r="U15" s="36"/>
      <c r="V15" s="36"/>
      <c r="W15" s="37"/>
      <c r="X15" s="91"/>
      <c r="Y15" s="35"/>
      <c r="Z15" s="36"/>
      <c r="AA15" s="91"/>
      <c r="AB15" s="66">
        <f t="shared" si="0"/>
        <v>0</v>
      </c>
      <c r="AC15" s="66">
        <f t="shared" si="1"/>
        <v>0</v>
      </c>
      <c r="AD15" s="67">
        <f t="shared" si="2"/>
        <v>0</v>
      </c>
      <c r="AE15" s="66">
        <f t="shared" si="3"/>
        <v>0</v>
      </c>
      <c r="AF15" s="65" t="str">
        <f t="shared" si="4"/>
        <v/>
      </c>
      <c r="AG15" s="63" t="str">
        <f t="shared" si="5"/>
        <v/>
      </c>
      <c r="AH15" s="64" t="str">
        <f t="shared" si="6"/>
        <v/>
      </c>
      <c r="AI15" s="63" t="str">
        <f t="shared" si="7"/>
        <v/>
      </c>
      <c r="AJ15" s="70" t="str">
        <f t="shared" si="8"/>
        <v/>
      </c>
      <c r="AK15" s="15"/>
      <c r="AL15" s="15"/>
      <c r="AM15" s="15"/>
      <c r="AN15" s="15"/>
    </row>
    <row r="16" spans="1:40" ht="20.100000000000001" customHeight="1" x14ac:dyDescent="0.3">
      <c r="A16" s="27">
        <v>9</v>
      </c>
      <c r="B16" s="38"/>
      <c r="C16" s="39"/>
      <c r="D16" s="40"/>
      <c r="E16" s="40"/>
      <c r="F16" s="40"/>
      <c r="G16" s="40"/>
      <c r="H16" s="40"/>
      <c r="I16" s="40"/>
      <c r="J16" s="40"/>
      <c r="K16" s="92"/>
      <c r="L16" s="39"/>
      <c r="M16" s="40"/>
      <c r="N16" s="40"/>
      <c r="O16" s="40"/>
      <c r="P16" s="40"/>
      <c r="Q16" s="92"/>
      <c r="R16" s="39"/>
      <c r="S16" s="40"/>
      <c r="T16" s="40"/>
      <c r="U16" s="40"/>
      <c r="V16" s="40"/>
      <c r="W16" s="41"/>
      <c r="X16" s="92"/>
      <c r="Y16" s="39"/>
      <c r="Z16" s="40"/>
      <c r="AA16" s="92"/>
      <c r="AB16" s="62">
        <f t="shared" si="0"/>
        <v>0</v>
      </c>
      <c r="AC16" s="62">
        <f t="shared" si="1"/>
        <v>0</v>
      </c>
      <c r="AD16" s="68">
        <f t="shared" si="2"/>
        <v>0</v>
      </c>
      <c r="AE16" s="62">
        <f t="shared" si="3"/>
        <v>0</v>
      </c>
      <c r="AF16" s="65" t="str">
        <f t="shared" si="4"/>
        <v/>
      </c>
      <c r="AG16" s="63" t="str">
        <f t="shared" si="5"/>
        <v/>
      </c>
      <c r="AH16" s="64" t="str">
        <f t="shared" si="6"/>
        <v/>
      </c>
      <c r="AI16" s="63" t="str">
        <f t="shared" si="7"/>
        <v/>
      </c>
      <c r="AJ16" s="70" t="str">
        <f t="shared" si="8"/>
        <v/>
      </c>
      <c r="AK16" s="15"/>
      <c r="AL16" s="15"/>
      <c r="AM16" s="15"/>
      <c r="AN16" s="15"/>
    </row>
    <row r="17" spans="1:40" ht="20.100000000000001" customHeight="1" x14ac:dyDescent="0.3">
      <c r="A17" s="33">
        <v>10</v>
      </c>
      <c r="B17" s="34"/>
      <c r="C17" s="35"/>
      <c r="D17" s="36"/>
      <c r="E17" s="36"/>
      <c r="F17" s="36"/>
      <c r="G17" s="36"/>
      <c r="H17" s="36"/>
      <c r="I17" s="36"/>
      <c r="J17" s="36"/>
      <c r="K17" s="91"/>
      <c r="L17" s="35"/>
      <c r="M17" s="36"/>
      <c r="N17" s="36"/>
      <c r="O17" s="36"/>
      <c r="P17" s="36"/>
      <c r="Q17" s="91"/>
      <c r="R17" s="35"/>
      <c r="S17" s="36"/>
      <c r="T17" s="36"/>
      <c r="U17" s="36"/>
      <c r="V17" s="36"/>
      <c r="W17" s="37"/>
      <c r="X17" s="91"/>
      <c r="Y17" s="35"/>
      <c r="Z17" s="36"/>
      <c r="AA17" s="91"/>
      <c r="AB17" s="66">
        <f t="shared" si="0"/>
        <v>0</v>
      </c>
      <c r="AC17" s="66">
        <f t="shared" si="1"/>
        <v>0</v>
      </c>
      <c r="AD17" s="67">
        <f t="shared" si="2"/>
        <v>0</v>
      </c>
      <c r="AE17" s="66">
        <f t="shared" si="3"/>
        <v>0</v>
      </c>
      <c r="AF17" s="65" t="str">
        <f t="shared" si="4"/>
        <v/>
      </c>
      <c r="AG17" s="63" t="str">
        <f t="shared" si="5"/>
        <v/>
      </c>
      <c r="AH17" s="64" t="str">
        <f t="shared" si="6"/>
        <v/>
      </c>
      <c r="AI17" s="63" t="str">
        <f t="shared" si="7"/>
        <v/>
      </c>
      <c r="AJ17" s="70" t="str">
        <f t="shared" si="8"/>
        <v/>
      </c>
      <c r="AK17" s="15"/>
      <c r="AL17" s="15"/>
      <c r="AM17" s="15"/>
      <c r="AN17" s="15"/>
    </row>
    <row r="18" spans="1:40" ht="20.100000000000001" customHeight="1" x14ac:dyDescent="0.3">
      <c r="A18" s="27">
        <v>11</v>
      </c>
      <c r="B18" s="38"/>
      <c r="C18" s="39"/>
      <c r="D18" s="40"/>
      <c r="E18" s="40"/>
      <c r="F18" s="40"/>
      <c r="G18" s="40"/>
      <c r="H18" s="40"/>
      <c r="I18" s="40"/>
      <c r="J18" s="40"/>
      <c r="K18" s="92"/>
      <c r="L18" s="39"/>
      <c r="M18" s="40"/>
      <c r="N18" s="40"/>
      <c r="O18" s="40"/>
      <c r="P18" s="40"/>
      <c r="Q18" s="92"/>
      <c r="R18" s="39"/>
      <c r="S18" s="40"/>
      <c r="T18" s="40"/>
      <c r="U18" s="40"/>
      <c r="V18" s="40"/>
      <c r="W18" s="41"/>
      <c r="X18" s="92"/>
      <c r="Y18" s="39"/>
      <c r="Z18" s="40"/>
      <c r="AA18" s="92"/>
      <c r="AB18" s="62">
        <f t="shared" si="0"/>
        <v>0</v>
      </c>
      <c r="AC18" s="62">
        <f t="shared" si="1"/>
        <v>0</v>
      </c>
      <c r="AD18" s="68">
        <f t="shared" si="2"/>
        <v>0</v>
      </c>
      <c r="AE18" s="62">
        <f t="shared" si="3"/>
        <v>0</v>
      </c>
      <c r="AF18" s="65" t="str">
        <f t="shared" si="4"/>
        <v/>
      </c>
      <c r="AG18" s="63" t="str">
        <f t="shared" si="5"/>
        <v/>
      </c>
      <c r="AH18" s="64" t="str">
        <f t="shared" si="6"/>
        <v/>
      </c>
      <c r="AI18" s="63" t="str">
        <f t="shared" si="7"/>
        <v/>
      </c>
      <c r="AJ18" s="70" t="str">
        <f t="shared" si="8"/>
        <v/>
      </c>
      <c r="AK18" s="15"/>
      <c r="AL18" s="15"/>
      <c r="AM18" s="15"/>
      <c r="AN18" s="15"/>
    </row>
    <row r="19" spans="1:40" ht="20.100000000000001" customHeight="1" x14ac:dyDescent="0.3">
      <c r="A19" s="33">
        <v>12</v>
      </c>
      <c r="B19" s="34"/>
      <c r="C19" s="35"/>
      <c r="D19" s="36"/>
      <c r="E19" s="36"/>
      <c r="F19" s="36"/>
      <c r="G19" s="36"/>
      <c r="H19" s="36"/>
      <c r="I19" s="36"/>
      <c r="J19" s="36"/>
      <c r="K19" s="91"/>
      <c r="L19" s="35"/>
      <c r="M19" s="36"/>
      <c r="N19" s="36"/>
      <c r="O19" s="36"/>
      <c r="P19" s="36"/>
      <c r="Q19" s="91"/>
      <c r="R19" s="35"/>
      <c r="S19" s="36"/>
      <c r="T19" s="36"/>
      <c r="U19" s="36"/>
      <c r="V19" s="36"/>
      <c r="W19" s="37"/>
      <c r="X19" s="91"/>
      <c r="Y19" s="35"/>
      <c r="Z19" s="36"/>
      <c r="AA19" s="91"/>
      <c r="AB19" s="66">
        <f t="shared" si="0"/>
        <v>0</v>
      </c>
      <c r="AC19" s="66">
        <f t="shared" si="1"/>
        <v>0</v>
      </c>
      <c r="AD19" s="67">
        <f t="shared" si="2"/>
        <v>0</v>
      </c>
      <c r="AE19" s="66">
        <f t="shared" si="3"/>
        <v>0</v>
      </c>
      <c r="AF19" s="65" t="str">
        <f t="shared" si="4"/>
        <v/>
      </c>
      <c r="AG19" s="63" t="str">
        <f t="shared" si="5"/>
        <v/>
      </c>
      <c r="AH19" s="64" t="str">
        <f t="shared" si="6"/>
        <v/>
      </c>
      <c r="AI19" s="63" t="str">
        <f t="shared" si="7"/>
        <v/>
      </c>
      <c r="AJ19" s="70" t="str">
        <f t="shared" si="8"/>
        <v/>
      </c>
      <c r="AK19" s="15"/>
      <c r="AL19" s="15"/>
      <c r="AM19" s="15"/>
      <c r="AN19" s="15"/>
    </row>
    <row r="20" spans="1:40" ht="20.100000000000001" customHeight="1" x14ac:dyDescent="0.3">
      <c r="A20" s="27">
        <v>13</v>
      </c>
      <c r="B20" s="38"/>
      <c r="C20" s="39"/>
      <c r="D20" s="40"/>
      <c r="E20" s="40"/>
      <c r="F20" s="40"/>
      <c r="G20" s="40"/>
      <c r="H20" s="40"/>
      <c r="I20" s="40"/>
      <c r="J20" s="40"/>
      <c r="K20" s="92"/>
      <c r="L20" s="39"/>
      <c r="M20" s="40"/>
      <c r="N20" s="40"/>
      <c r="O20" s="40"/>
      <c r="P20" s="40"/>
      <c r="Q20" s="92"/>
      <c r="R20" s="39"/>
      <c r="S20" s="40"/>
      <c r="T20" s="40"/>
      <c r="U20" s="40"/>
      <c r="V20" s="40"/>
      <c r="W20" s="41"/>
      <c r="X20" s="92"/>
      <c r="Y20" s="39"/>
      <c r="Z20" s="40"/>
      <c r="AA20" s="92"/>
      <c r="AB20" s="62">
        <f t="shared" si="0"/>
        <v>0</v>
      </c>
      <c r="AC20" s="62">
        <f t="shared" si="1"/>
        <v>0</v>
      </c>
      <c r="AD20" s="68">
        <f t="shared" si="2"/>
        <v>0</v>
      </c>
      <c r="AE20" s="62">
        <f t="shared" si="3"/>
        <v>0</v>
      </c>
      <c r="AF20" s="65" t="str">
        <f t="shared" si="4"/>
        <v/>
      </c>
      <c r="AG20" s="63" t="str">
        <f t="shared" si="5"/>
        <v/>
      </c>
      <c r="AH20" s="64" t="str">
        <f t="shared" si="6"/>
        <v/>
      </c>
      <c r="AI20" s="63" t="str">
        <f t="shared" si="7"/>
        <v/>
      </c>
      <c r="AJ20" s="70" t="str">
        <f t="shared" si="8"/>
        <v/>
      </c>
      <c r="AK20" s="15"/>
      <c r="AL20" s="15"/>
      <c r="AM20" s="15"/>
      <c r="AN20" s="15"/>
    </row>
    <row r="21" spans="1:40" ht="20.100000000000001" customHeight="1" x14ac:dyDescent="0.3">
      <c r="A21" s="33">
        <v>14</v>
      </c>
      <c r="B21" s="34"/>
      <c r="C21" s="35"/>
      <c r="D21" s="36"/>
      <c r="E21" s="36"/>
      <c r="F21" s="36"/>
      <c r="G21" s="36"/>
      <c r="H21" s="36"/>
      <c r="I21" s="36"/>
      <c r="J21" s="36"/>
      <c r="K21" s="91"/>
      <c r="L21" s="35"/>
      <c r="M21" s="36"/>
      <c r="N21" s="36"/>
      <c r="O21" s="36"/>
      <c r="P21" s="36"/>
      <c r="Q21" s="91"/>
      <c r="R21" s="35"/>
      <c r="S21" s="36"/>
      <c r="T21" s="36"/>
      <c r="U21" s="36"/>
      <c r="V21" s="36"/>
      <c r="W21" s="37"/>
      <c r="X21" s="91"/>
      <c r="Y21" s="35"/>
      <c r="Z21" s="36"/>
      <c r="AA21" s="91"/>
      <c r="AB21" s="66">
        <f t="shared" si="0"/>
        <v>0</v>
      </c>
      <c r="AC21" s="66">
        <f t="shared" si="1"/>
        <v>0</v>
      </c>
      <c r="AD21" s="67">
        <f t="shared" si="2"/>
        <v>0</v>
      </c>
      <c r="AE21" s="66">
        <f t="shared" si="3"/>
        <v>0</v>
      </c>
      <c r="AF21" s="65" t="str">
        <f t="shared" si="4"/>
        <v/>
      </c>
      <c r="AG21" s="63" t="str">
        <f t="shared" si="5"/>
        <v/>
      </c>
      <c r="AH21" s="64" t="str">
        <f t="shared" si="6"/>
        <v/>
      </c>
      <c r="AI21" s="63" t="str">
        <f t="shared" si="7"/>
        <v/>
      </c>
      <c r="AJ21" s="70" t="str">
        <f t="shared" si="8"/>
        <v/>
      </c>
      <c r="AK21" s="15"/>
      <c r="AL21" s="15"/>
      <c r="AM21" s="15"/>
      <c r="AN21" s="15"/>
    </row>
    <row r="22" spans="1:40" ht="20.100000000000001" customHeight="1" x14ac:dyDescent="0.3">
      <c r="A22" s="27">
        <v>15</v>
      </c>
      <c r="B22" s="38"/>
      <c r="C22" s="39"/>
      <c r="D22" s="40"/>
      <c r="E22" s="40"/>
      <c r="F22" s="40"/>
      <c r="G22" s="40"/>
      <c r="H22" s="40"/>
      <c r="I22" s="40"/>
      <c r="J22" s="40"/>
      <c r="K22" s="92"/>
      <c r="L22" s="39"/>
      <c r="M22" s="40"/>
      <c r="N22" s="40"/>
      <c r="O22" s="40"/>
      <c r="P22" s="40"/>
      <c r="Q22" s="92"/>
      <c r="R22" s="39"/>
      <c r="S22" s="40"/>
      <c r="T22" s="40"/>
      <c r="U22" s="40"/>
      <c r="V22" s="40"/>
      <c r="W22" s="41"/>
      <c r="X22" s="92"/>
      <c r="Y22" s="39"/>
      <c r="Z22" s="40"/>
      <c r="AA22" s="92"/>
      <c r="AB22" s="62">
        <f t="shared" si="0"/>
        <v>0</v>
      </c>
      <c r="AC22" s="62">
        <f t="shared" si="1"/>
        <v>0</v>
      </c>
      <c r="AD22" s="68">
        <f t="shared" si="2"/>
        <v>0</v>
      </c>
      <c r="AE22" s="62">
        <f t="shared" si="3"/>
        <v>0</v>
      </c>
      <c r="AF22" s="65" t="str">
        <f t="shared" si="4"/>
        <v/>
      </c>
      <c r="AG22" s="63" t="str">
        <f t="shared" si="5"/>
        <v/>
      </c>
      <c r="AH22" s="64" t="str">
        <f t="shared" si="6"/>
        <v/>
      </c>
      <c r="AI22" s="63" t="str">
        <f t="shared" si="7"/>
        <v/>
      </c>
      <c r="AJ22" s="70" t="str">
        <f t="shared" si="8"/>
        <v/>
      </c>
      <c r="AK22" s="15"/>
      <c r="AL22" s="15"/>
      <c r="AM22" s="15"/>
      <c r="AN22" s="15"/>
    </row>
    <row r="23" spans="1:40" ht="20.100000000000001" customHeight="1" x14ac:dyDescent="0.3">
      <c r="A23" s="33">
        <v>16</v>
      </c>
      <c r="B23" s="34"/>
      <c r="C23" s="35"/>
      <c r="D23" s="36"/>
      <c r="E23" s="36"/>
      <c r="F23" s="36"/>
      <c r="G23" s="36"/>
      <c r="H23" s="36"/>
      <c r="I23" s="36"/>
      <c r="J23" s="36"/>
      <c r="K23" s="91"/>
      <c r="L23" s="35"/>
      <c r="M23" s="36"/>
      <c r="N23" s="36"/>
      <c r="O23" s="36"/>
      <c r="P23" s="36"/>
      <c r="Q23" s="91"/>
      <c r="R23" s="35"/>
      <c r="S23" s="36"/>
      <c r="T23" s="36"/>
      <c r="U23" s="36"/>
      <c r="V23" s="36"/>
      <c r="W23" s="37"/>
      <c r="X23" s="91"/>
      <c r="Y23" s="35"/>
      <c r="Z23" s="36"/>
      <c r="AA23" s="91"/>
      <c r="AB23" s="66">
        <f t="shared" si="0"/>
        <v>0</v>
      </c>
      <c r="AC23" s="66">
        <f t="shared" si="1"/>
        <v>0</v>
      </c>
      <c r="AD23" s="67">
        <f t="shared" si="2"/>
        <v>0</v>
      </c>
      <c r="AE23" s="66">
        <f t="shared" si="3"/>
        <v>0</v>
      </c>
      <c r="AF23" s="65" t="str">
        <f t="shared" si="4"/>
        <v/>
      </c>
      <c r="AG23" s="63" t="str">
        <f t="shared" si="5"/>
        <v/>
      </c>
      <c r="AH23" s="64" t="str">
        <f t="shared" si="6"/>
        <v/>
      </c>
      <c r="AI23" s="63" t="str">
        <f t="shared" si="7"/>
        <v/>
      </c>
      <c r="AJ23" s="70" t="str">
        <f t="shared" si="8"/>
        <v/>
      </c>
      <c r="AK23" s="15"/>
      <c r="AL23" s="15"/>
      <c r="AM23" s="15"/>
      <c r="AN23" s="15" t="s">
        <v>30</v>
      </c>
    </row>
    <row r="24" spans="1:40" ht="20.100000000000001" customHeight="1" x14ac:dyDescent="0.3">
      <c r="A24" s="27">
        <v>17</v>
      </c>
      <c r="B24" s="38"/>
      <c r="C24" s="39"/>
      <c r="D24" s="40"/>
      <c r="E24" s="40"/>
      <c r="F24" s="40"/>
      <c r="G24" s="40"/>
      <c r="H24" s="40"/>
      <c r="I24" s="40"/>
      <c r="J24" s="40"/>
      <c r="K24" s="92"/>
      <c r="L24" s="39"/>
      <c r="M24" s="40"/>
      <c r="N24" s="40"/>
      <c r="O24" s="40"/>
      <c r="P24" s="40"/>
      <c r="Q24" s="92"/>
      <c r="R24" s="39"/>
      <c r="S24" s="40"/>
      <c r="T24" s="40"/>
      <c r="U24" s="40"/>
      <c r="V24" s="40"/>
      <c r="W24" s="41"/>
      <c r="X24" s="92"/>
      <c r="Y24" s="39"/>
      <c r="Z24" s="40"/>
      <c r="AA24" s="92"/>
      <c r="AB24" s="62">
        <f t="shared" si="0"/>
        <v>0</v>
      </c>
      <c r="AC24" s="62">
        <f t="shared" si="1"/>
        <v>0</v>
      </c>
      <c r="AD24" s="68">
        <f t="shared" si="2"/>
        <v>0</v>
      </c>
      <c r="AE24" s="62">
        <f t="shared" si="3"/>
        <v>0</v>
      </c>
      <c r="AF24" s="65" t="str">
        <f t="shared" si="4"/>
        <v/>
      </c>
      <c r="AG24" s="63" t="str">
        <f t="shared" si="5"/>
        <v/>
      </c>
      <c r="AH24" s="64" t="str">
        <f t="shared" si="6"/>
        <v/>
      </c>
      <c r="AI24" s="63" t="str">
        <f t="shared" si="7"/>
        <v/>
      </c>
      <c r="AJ24" s="70" t="str">
        <f t="shared" si="8"/>
        <v/>
      </c>
      <c r="AK24" s="15"/>
      <c r="AL24" s="15"/>
      <c r="AM24" s="15"/>
      <c r="AN24" s="15"/>
    </row>
    <row r="25" spans="1:40" ht="20.100000000000001" customHeight="1" x14ac:dyDescent="0.3">
      <c r="A25" s="33">
        <v>18</v>
      </c>
      <c r="B25" s="34"/>
      <c r="C25" s="35"/>
      <c r="D25" s="36"/>
      <c r="E25" s="36"/>
      <c r="F25" s="36"/>
      <c r="G25" s="36"/>
      <c r="H25" s="36"/>
      <c r="I25" s="36"/>
      <c r="J25" s="36"/>
      <c r="K25" s="91"/>
      <c r="L25" s="35"/>
      <c r="M25" s="36"/>
      <c r="N25" s="36"/>
      <c r="O25" s="36"/>
      <c r="P25" s="36"/>
      <c r="Q25" s="91"/>
      <c r="R25" s="35"/>
      <c r="S25" s="36"/>
      <c r="T25" s="36"/>
      <c r="U25" s="36"/>
      <c r="V25" s="36"/>
      <c r="W25" s="37"/>
      <c r="X25" s="91"/>
      <c r="Y25" s="35"/>
      <c r="Z25" s="36"/>
      <c r="AA25" s="91"/>
      <c r="AB25" s="66">
        <f t="shared" si="0"/>
        <v>0</v>
      </c>
      <c r="AC25" s="66">
        <f t="shared" si="1"/>
        <v>0</v>
      </c>
      <c r="AD25" s="67">
        <f t="shared" si="2"/>
        <v>0</v>
      </c>
      <c r="AE25" s="66">
        <f t="shared" si="3"/>
        <v>0</v>
      </c>
      <c r="AF25" s="65" t="str">
        <f t="shared" si="4"/>
        <v/>
      </c>
      <c r="AG25" s="63" t="str">
        <f t="shared" si="5"/>
        <v/>
      </c>
      <c r="AH25" s="64" t="str">
        <f t="shared" si="6"/>
        <v/>
      </c>
      <c r="AI25" s="63" t="str">
        <f t="shared" si="7"/>
        <v/>
      </c>
      <c r="AJ25" s="70" t="str">
        <f t="shared" si="8"/>
        <v/>
      </c>
      <c r="AK25" s="15"/>
      <c r="AL25" s="15"/>
      <c r="AM25" s="15"/>
      <c r="AN25" s="15"/>
    </row>
    <row r="26" spans="1:40" ht="20.100000000000001" customHeight="1" x14ac:dyDescent="0.3">
      <c r="A26" s="27">
        <v>19</v>
      </c>
      <c r="B26" s="38"/>
      <c r="C26" s="39"/>
      <c r="D26" s="40"/>
      <c r="E26" s="40"/>
      <c r="F26" s="40"/>
      <c r="G26" s="40"/>
      <c r="H26" s="40"/>
      <c r="I26" s="40"/>
      <c r="J26" s="40"/>
      <c r="K26" s="92"/>
      <c r="L26" s="39"/>
      <c r="M26" s="40"/>
      <c r="N26" s="40"/>
      <c r="O26" s="40"/>
      <c r="P26" s="40"/>
      <c r="Q26" s="92"/>
      <c r="R26" s="39"/>
      <c r="S26" s="40"/>
      <c r="T26" s="40"/>
      <c r="U26" s="40"/>
      <c r="V26" s="40"/>
      <c r="W26" s="41"/>
      <c r="X26" s="92"/>
      <c r="Y26" s="39"/>
      <c r="Z26" s="40"/>
      <c r="AA26" s="92"/>
      <c r="AB26" s="62">
        <f t="shared" si="0"/>
        <v>0</v>
      </c>
      <c r="AC26" s="62">
        <f t="shared" si="1"/>
        <v>0</v>
      </c>
      <c r="AD26" s="68">
        <f t="shared" si="2"/>
        <v>0</v>
      </c>
      <c r="AE26" s="62">
        <f t="shared" si="3"/>
        <v>0</v>
      </c>
      <c r="AF26" s="65" t="str">
        <f t="shared" si="4"/>
        <v/>
      </c>
      <c r="AG26" s="63" t="str">
        <f t="shared" si="5"/>
        <v/>
      </c>
      <c r="AH26" s="64" t="str">
        <f t="shared" si="6"/>
        <v/>
      </c>
      <c r="AI26" s="63" t="str">
        <f t="shared" si="7"/>
        <v/>
      </c>
      <c r="AJ26" s="70" t="str">
        <f t="shared" si="8"/>
        <v/>
      </c>
      <c r="AK26" s="15"/>
      <c r="AL26" s="15"/>
      <c r="AM26" s="15"/>
      <c r="AN26" s="15"/>
    </row>
    <row r="27" spans="1:40" ht="20.100000000000001" customHeight="1" x14ac:dyDescent="0.3">
      <c r="A27" s="33">
        <v>20</v>
      </c>
      <c r="B27" s="34"/>
      <c r="C27" s="35"/>
      <c r="D27" s="36"/>
      <c r="E27" s="36"/>
      <c r="F27" s="36"/>
      <c r="G27" s="36"/>
      <c r="H27" s="36"/>
      <c r="I27" s="36"/>
      <c r="J27" s="36"/>
      <c r="K27" s="91"/>
      <c r="L27" s="35"/>
      <c r="M27" s="36"/>
      <c r="N27" s="36"/>
      <c r="O27" s="36"/>
      <c r="P27" s="36"/>
      <c r="Q27" s="91"/>
      <c r="R27" s="35"/>
      <c r="S27" s="36"/>
      <c r="T27" s="36"/>
      <c r="U27" s="36"/>
      <c r="V27" s="36"/>
      <c r="W27" s="37"/>
      <c r="X27" s="91"/>
      <c r="Y27" s="35"/>
      <c r="Z27" s="36"/>
      <c r="AA27" s="91"/>
      <c r="AB27" s="66">
        <f t="shared" si="0"/>
        <v>0</v>
      </c>
      <c r="AC27" s="66">
        <f t="shared" si="1"/>
        <v>0</v>
      </c>
      <c r="AD27" s="67">
        <f t="shared" si="2"/>
        <v>0</v>
      </c>
      <c r="AE27" s="66">
        <f t="shared" si="3"/>
        <v>0</v>
      </c>
      <c r="AF27" s="65" t="str">
        <f t="shared" si="4"/>
        <v/>
      </c>
      <c r="AG27" s="63" t="str">
        <f t="shared" si="5"/>
        <v/>
      </c>
      <c r="AH27" s="64" t="str">
        <f t="shared" si="6"/>
        <v/>
      </c>
      <c r="AI27" s="63" t="str">
        <f t="shared" si="7"/>
        <v/>
      </c>
      <c r="AJ27" s="70" t="str">
        <f t="shared" si="8"/>
        <v/>
      </c>
      <c r="AK27" s="15"/>
      <c r="AL27" s="15"/>
      <c r="AM27" s="15"/>
      <c r="AN27" s="15"/>
    </row>
    <row r="28" spans="1:40" ht="20.100000000000001" customHeight="1" x14ac:dyDescent="0.3">
      <c r="A28" s="27">
        <v>21</v>
      </c>
      <c r="B28" s="38"/>
      <c r="C28" s="39"/>
      <c r="D28" s="40"/>
      <c r="E28" s="40"/>
      <c r="F28" s="40"/>
      <c r="G28" s="40"/>
      <c r="H28" s="40"/>
      <c r="I28" s="40"/>
      <c r="J28" s="40"/>
      <c r="K28" s="92"/>
      <c r="L28" s="39"/>
      <c r="M28" s="40"/>
      <c r="N28" s="40"/>
      <c r="O28" s="40"/>
      <c r="P28" s="40"/>
      <c r="Q28" s="92"/>
      <c r="R28" s="39"/>
      <c r="S28" s="40"/>
      <c r="T28" s="40"/>
      <c r="U28" s="40"/>
      <c r="V28" s="40"/>
      <c r="W28" s="41"/>
      <c r="X28" s="92"/>
      <c r="Y28" s="39"/>
      <c r="Z28" s="40"/>
      <c r="AA28" s="92"/>
      <c r="AB28" s="62">
        <f t="shared" si="0"/>
        <v>0</v>
      </c>
      <c r="AC28" s="62">
        <f t="shared" si="1"/>
        <v>0</v>
      </c>
      <c r="AD28" s="68">
        <f t="shared" si="2"/>
        <v>0</v>
      </c>
      <c r="AE28" s="62">
        <f t="shared" si="3"/>
        <v>0</v>
      </c>
      <c r="AF28" s="65" t="str">
        <f t="shared" si="4"/>
        <v/>
      </c>
      <c r="AG28" s="63" t="str">
        <f t="shared" si="5"/>
        <v/>
      </c>
      <c r="AH28" s="64" t="str">
        <f t="shared" si="6"/>
        <v/>
      </c>
      <c r="AI28" s="63" t="str">
        <f t="shared" si="7"/>
        <v/>
      </c>
      <c r="AJ28" s="70" t="str">
        <f t="shared" si="8"/>
        <v/>
      </c>
      <c r="AK28" s="15"/>
      <c r="AL28" s="15"/>
      <c r="AM28" s="15"/>
      <c r="AN28" s="15"/>
    </row>
    <row r="29" spans="1:40" ht="20.100000000000001" customHeight="1" x14ac:dyDescent="0.3">
      <c r="A29" s="33">
        <v>22</v>
      </c>
      <c r="B29" s="34"/>
      <c r="C29" s="35"/>
      <c r="D29" s="36"/>
      <c r="E29" s="36"/>
      <c r="F29" s="36"/>
      <c r="G29" s="36"/>
      <c r="H29" s="36"/>
      <c r="I29" s="36"/>
      <c r="J29" s="36"/>
      <c r="K29" s="91"/>
      <c r="L29" s="35"/>
      <c r="M29" s="36"/>
      <c r="N29" s="36"/>
      <c r="O29" s="36"/>
      <c r="P29" s="36"/>
      <c r="Q29" s="91"/>
      <c r="R29" s="35"/>
      <c r="S29" s="36"/>
      <c r="T29" s="36"/>
      <c r="U29" s="36"/>
      <c r="V29" s="36"/>
      <c r="W29" s="37"/>
      <c r="X29" s="91"/>
      <c r="Y29" s="35"/>
      <c r="Z29" s="36"/>
      <c r="AA29" s="91"/>
      <c r="AB29" s="66">
        <f t="shared" si="0"/>
        <v>0</v>
      </c>
      <c r="AC29" s="66">
        <f t="shared" si="1"/>
        <v>0</v>
      </c>
      <c r="AD29" s="67">
        <f t="shared" si="2"/>
        <v>0</v>
      </c>
      <c r="AE29" s="66">
        <f t="shared" si="3"/>
        <v>0</v>
      </c>
      <c r="AF29" s="65" t="str">
        <f t="shared" si="4"/>
        <v/>
      </c>
      <c r="AG29" s="63" t="str">
        <f t="shared" si="5"/>
        <v/>
      </c>
      <c r="AH29" s="64" t="str">
        <f t="shared" si="6"/>
        <v/>
      </c>
      <c r="AI29" s="63" t="str">
        <f t="shared" si="7"/>
        <v/>
      </c>
      <c r="AJ29" s="70" t="str">
        <f t="shared" si="8"/>
        <v/>
      </c>
      <c r="AK29" s="15"/>
      <c r="AL29" s="15"/>
      <c r="AM29" s="15"/>
      <c r="AN29" s="15"/>
    </row>
    <row r="30" spans="1:40" ht="20.100000000000001" customHeight="1" x14ac:dyDescent="0.3">
      <c r="A30" s="27">
        <v>23</v>
      </c>
      <c r="B30" s="38"/>
      <c r="C30" s="39"/>
      <c r="D30" s="40"/>
      <c r="E30" s="40"/>
      <c r="F30" s="40"/>
      <c r="G30" s="40"/>
      <c r="H30" s="40"/>
      <c r="I30" s="40"/>
      <c r="J30" s="40"/>
      <c r="K30" s="92"/>
      <c r="L30" s="39"/>
      <c r="M30" s="40"/>
      <c r="N30" s="40"/>
      <c r="O30" s="40"/>
      <c r="P30" s="40"/>
      <c r="Q30" s="92"/>
      <c r="R30" s="39"/>
      <c r="S30" s="40"/>
      <c r="T30" s="40"/>
      <c r="U30" s="40"/>
      <c r="V30" s="40"/>
      <c r="W30" s="41"/>
      <c r="X30" s="92"/>
      <c r="Y30" s="39"/>
      <c r="Z30" s="40"/>
      <c r="AA30" s="92"/>
      <c r="AB30" s="62">
        <f t="shared" si="0"/>
        <v>0</v>
      </c>
      <c r="AC30" s="62">
        <f t="shared" si="1"/>
        <v>0</v>
      </c>
      <c r="AD30" s="68">
        <f t="shared" si="2"/>
        <v>0</v>
      </c>
      <c r="AE30" s="62">
        <f t="shared" si="3"/>
        <v>0</v>
      </c>
      <c r="AF30" s="65" t="str">
        <f t="shared" si="4"/>
        <v/>
      </c>
      <c r="AG30" s="63" t="str">
        <f t="shared" si="5"/>
        <v/>
      </c>
      <c r="AH30" s="64" t="str">
        <f t="shared" si="6"/>
        <v/>
      </c>
      <c r="AI30" s="63" t="str">
        <f t="shared" si="7"/>
        <v/>
      </c>
      <c r="AJ30" s="70" t="str">
        <f t="shared" si="8"/>
        <v/>
      </c>
      <c r="AK30" s="15"/>
      <c r="AL30" s="15"/>
      <c r="AM30" s="15"/>
      <c r="AN30" s="15"/>
    </row>
    <row r="31" spans="1:40" ht="20.100000000000001" customHeight="1" x14ac:dyDescent="0.3">
      <c r="A31" s="33">
        <v>24</v>
      </c>
      <c r="B31" s="34"/>
      <c r="C31" s="35"/>
      <c r="D31" s="36"/>
      <c r="E31" s="36"/>
      <c r="F31" s="36"/>
      <c r="G31" s="36"/>
      <c r="H31" s="36"/>
      <c r="I31" s="36"/>
      <c r="J31" s="36"/>
      <c r="K31" s="91"/>
      <c r="L31" s="35"/>
      <c r="M31" s="36"/>
      <c r="N31" s="36"/>
      <c r="O31" s="36"/>
      <c r="P31" s="36"/>
      <c r="Q31" s="91"/>
      <c r="R31" s="35"/>
      <c r="S31" s="36"/>
      <c r="T31" s="36"/>
      <c r="U31" s="36"/>
      <c r="V31" s="36"/>
      <c r="W31" s="37"/>
      <c r="X31" s="91"/>
      <c r="Y31" s="35"/>
      <c r="Z31" s="36"/>
      <c r="AA31" s="91"/>
      <c r="AB31" s="66">
        <f t="shared" si="0"/>
        <v>0</v>
      </c>
      <c r="AC31" s="66">
        <f t="shared" si="1"/>
        <v>0</v>
      </c>
      <c r="AD31" s="67">
        <f t="shared" si="2"/>
        <v>0</v>
      </c>
      <c r="AE31" s="66">
        <f t="shared" si="3"/>
        <v>0</v>
      </c>
      <c r="AF31" s="65" t="str">
        <f t="shared" si="4"/>
        <v/>
      </c>
      <c r="AG31" s="63" t="str">
        <f t="shared" si="5"/>
        <v/>
      </c>
      <c r="AH31" s="64" t="str">
        <f t="shared" si="6"/>
        <v/>
      </c>
      <c r="AI31" s="63" t="str">
        <f t="shared" si="7"/>
        <v/>
      </c>
      <c r="AJ31" s="70" t="str">
        <f t="shared" si="8"/>
        <v/>
      </c>
      <c r="AK31" s="15"/>
      <c r="AL31" s="15"/>
      <c r="AM31" s="15"/>
      <c r="AN31" s="15"/>
    </row>
    <row r="32" spans="1:40" ht="20.100000000000001" customHeight="1" x14ac:dyDescent="0.3">
      <c r="A32" s="27">
        <v>25</v>
      </c>
      <c r="B32" s="38"/>
      <c r="C32" s="39"/>
      <c r="D32" s="40"/>
      <c r="E32" s="40"/>
      <c r="F32" s="40"/>
      <c r="G32" s="40"/>
      <c r="H32" s="40"/>
      <c r="I32" s="40"/>
      <c r="J32" s="40"/>
      <c r="K32" s="92"/>
      <c r="L32" s="39"/>
      <c r="M32" s="40"/>
      <c r="N32" s="40"/>
      <c r="O32" s="40"/>
      <c r="P32" s="40"/>
      <c r="Q32" s="92"/>
      <c r="R32" s="39"/>
      <c r="S32" s="40"/>
      <c r="T32" s="40"/>
      <c r="U32" s="40"/>
      <c r="V32" s="40"/>
      <c r="W32" s="41"/>
      <c r="X32" s="92"/>
      <c r="Y32" s="39"/>
      <c r="Z32" s="40"/>
      <c r="AA32" s="92"/>
      <c r="AB32" s="62">
        <f t="shared" si="0"/>
        <v>0</v>
      </c>
      <c r="AC32" s="62">
        <f t="shared" si="1"/>
        <v>0</v>
      </c>
      <c r="AD32" s="68">
        <f t="shared" si="2"/>
        <v>0</v>
      </c>
      <c r="AE32" s="62">
        <f t="shared" si="3"/>
        <v>0</v>
      </c>
      <c r="AF32" s="65" t="str">
        <f t="shared" si="4"/>
        <v/>
      </c>
      <c r="AG32" s="63" t="str">
        <f t="shared" si="5"/>
        <v/>
      </c>
      <c r="AH32" s="64" t="str">
        <f t="shared" si="6"/>
        <v/>
      </c>
      <c r="AI32" s="63" t="str">
        <f t="shared" si="7"/>
        <v/>
      </c>
      <c r="AJ32" s="70" t="str">
        <f t="shared" si="8"/>
        <v/>
      </c>
      <c r="AK32" s="15"/>
      <c r="AL32" s="15"/>
      <c r="AM32" s="15"/>
      <c r="AN32" s="15"/>
    </row>
    <row r="33" spans="1:40" ht="20.100000000000001" customHeight="1" x14ac:dyDescent="0.3">
      <c r="A33" s="33">
        <v>26</v>
      </c>
      <c r="B33" s="34"/>
      <c r="C33" s="35"/>
      <c r="D33" s="36"/>
      <c r="E33" s="36"/>
      <c r="F33" s="36"/>
      <c r="G33" s="36"/>
      <c r="H33" s="36"/>
      <c r="I33" s="36"/>
      <c r="J33" s="36"/>
      <c r="K33" s="91"/>
      <c r="L33" s="35"/>
      <c r="M33" s="36"/>
      <c r="N33" s="36"/>
      <c r="O33" s="36"/>
      <c r="P33" s="36"/>
      <c r="Q33" s="91"/>
      <c r="R33" s="35"/>
      <c r="S33" s="36"/>
      <c r="T33" s="36"/>
      <c r="U33" s="36"/>
      <c r="V33" s="36"/>
      <c r="W33" s="37"/>
      <c r="X33" s="91"/>
      <c r="Y33" s="35"/>
      <c r="Z33" s="36"/>
      <c r="AA33" s="91"/>
      <c r="AB33" s="66">
        <f t="shared" si="0"/>
        <v>0</v>
      </c>
      <c r="AC33" s="66">
        <f t="shared" si="1"/>
        <v>0</v>
      </c>
      <c r="AD33" s="67">
        <f t="shared" si="2"/>
        <v>0</v>
      </c>
      <c r="AE33" s="66">
        <f t="shared" si="3"/>
        <v>0</v>
      </c>
      <c r="AF33" s="65" t="str">
        <f t="shared" si="4"/>
        <v/>
      </c>
      <c r="AG33" s="63" t="str">
        <f t="shared" si="5"/>
        <v/>
      </c>
      <c r="AH33" s="64" t="str">
        <f t="shared" si="6"/>
        <v/>
      </c>
      <c r="AI33" s="63" t="str">
        <f t="shared" si="7"/>
        <v/>
      </c>
      <c r="AJ33" s="70" t="str">
        <f t="shared" si="8"/>
        <v/>
      </c>
      <c r="AK33" s="15"/>
      <c r="AL33" s="15"/>
      <c r="AM33" s="15"/>
      <c r="AN33" s="15"/>
    </row>
    <row r="34" spans="1:40" ht="20.100000000000001" customHeight="1" x14ac:dyDescent="0.3">
      <c r="A34" s="27">
        <v>27</v>
      </c>
      <c r="B34" s="38"/>
      <c r="C34" s="39"/>
      <c r="D34" s="40"/>
      <c r="E34" s="40"/>
      <c r="F34" s="40"/>
      <c r="G34" s="40"/>
      <c r="H34" s="40"/>
      <c r="I34" s="40"/>
      <c r="J34" s="40"/>
      <c r="K34" s="92"/>
      <c r="L34" s="39"/>
      <c r="M34" s="40"/>
      <c r="N34" s="40"/>
      <c r="O34" s="40"/>
      <c r="P34" s="40"/>
      <c r="Q34" s="92"/>
      <c r="R34" s="39"/>
      <c r="S34" s="40"/>
      <c r="T34" s="40"/>
      <c r="U34" s="40"/>
      <c r="V34" s="40"/>
      <c r="W34" s="41"/>
      <c r="X34" s="92"/>
      <c r="Y34" s="39"/>
      <c r="Z34" s="40"/>
      <c r="AA34" s="92"/>
      <c r="AB34" s="62">
        <f t="shared" si="0"/>
        <v>0</v>
      </c>
      <c r="AC34" s="62">
        <f t="shared" si="1"/>
        <v>0</v>
      </c>
      <c r="AD34" s="68">
        <f t="shared" si="2"/>
        <v>0</v>
      </c>
      <c r="AE34" s="62">
        <f t="shared" si="3"/>
        <v>0</v>
      </c>
      <c r="AF34" s="65" t="str">
        <f t="shared" si="4"/>
        <v/>
      </c>
      <c r="AG34" s="63" t="str">
        <f t="shared" si="5"/>
        <v/>
      </c>
      <c r="AH34" s="64" t="str">
        <f t="shared" si="6"/>
        <v/>
      </c>
      <c r="AI34" s="63" t="str">
        <f t="shared" si="7"/>
        <v/>
      </c>
      <c r="AJ34" s="70" t="str">
        <f t="shared" si="8"/>
        <v/>
      </c>
      <c r="AK34" s="15"/>
      <c r="AL34" s="15"/>
      <c r="AM34" s="15"/>
      <c r="AN34" s="15"/>
    </row>
    <row r="35" spans="1:40" ht="20.100000000000001" customHeight="1" x14ac:dyDescent="0.3">
      <c r="A35" s="33">
        <v>28</v>
      </c>
      <c r="B35" s="34"/>
      <c r="C35" s="35"/>
      <c r="D35" s="36"/>
      <c r="E35" s="36"/>
      <c r="F35" s="36"/>
      <c r="G35" s="36"/>
      <c r="H35" s="36"/>
      <c r="I35" s="36"/>
      <c r="J35" s="36"/>
      <c r="K35" s="91"/>
      <c r="L35" s="35"/>
      <c r="M35" s="36"/>
      <c r="N35" s="36"/>
      <c r="O35" s="36"/>
      <c r="P35" s="36"/>
      <c r="Q35" s="91"/>
      <c r="R35" s="35"/>
      <c r="S35" s="36"/>
      <c r="T35" s="36"/>
      <c r="U35" s="36"/>
      <c r="V35" s="36"/>
      <c r="W35" s="37"/>
      <c r="X35" s="91"/>
      <c r="Y35" s="35"/>
      <c r="Z35" s="36"/>
      <c r="AA35" s="91"/>
      <c r="AB35" s="66">
        <f t="shared" si="0"/>
        <v>0</v>
      </c>
      <c r="AC35" s="66">
        <f t="shared" si="1"/>
        <v>0</v>
      </c>
      <c r="AD35" s="67">
        <f t="shared" si="2"/>
        <v>0</v>
      </c>
      <c r="AE35" s="66">
        <f t="shared" si="3"/>
        <v>0</v>
      </c>
      <c r="AF35" s="65" t="str">
        <f t="shared" si="4"/>
        <v/>
      </c>
      <c r="AG35" s="63" t="str">
        <f t="shared" si="5"/>
        <v/>
      </c>
      <c r="AH35" s="64" t="str">
        <f t="shared" si="6"/>
        <v/>
      </c>
      <c r="AI35" s="63" t="str">
        <f t="shared" si="7"/>
        <v/>
      </c>
      <c r="AJ35" s="70" t="str">
        <f t="shared" si="8"/>
        <v/>
      </c>
      <c r="AK35" s="15"/>
      <c r="AL35" s="15"/>
      <c r="AM35" s="15"/>
      <c r="AN35" s="15"/>
    </row>
    <row r="36" spans="1:40" ht="20.100000000000001" customHeight="1" x14ac:dyDescent="0.3">
      <c r="A36" s="27">
        <v>29</v>
      </c>
      <c r="B36" s="38"/>
      <c r="C36" s="39"/>
      <c r="D36" s="40"/>
      <c r="E36" s="40"/>
      <c r="F36" s="40"/>
      <c r="G36" s="40"/>
      <c r="H36" s="40"/>
      <c r="I36" s="40"/>
      <c r="J36" s="40"/>
      <c r="K36" s="92"/>
      <c r="L36" s="39"/>
      <c r="M36" s="40"/>
      <c r="N36" s="40"/>
      <c r="O36" s="40"/>
      <c r="P36" s="40"/>
      <c r="Q36" s="92"/>
      <c r="R36" s="39"/>
      <c r="S36" s="40"/>
      <c r="T36" s="40"/>
      <c r="U36" s="40"/>
      <c r="V36" s="40"/>
      <c r="W36" s="41"/>
      <c r="X36" s="92"/>
      <c r="Y36" s="39"/>
      <c r="Z36" s="40"/>
      <c r="AA36" s="92"/>
      <c r="AB36" s="62">
        <f t="shared" si="0"/>
        <v>0</v>
      </c>
      <c r="AC36" s="62">
        <f t="shared" si="1"/>
        <v>0</v>
      </c>
      <c r="AD36" s="68">
        <f t="shared" si="2"/>
        <v>0</v>
      </c>
      <c r="AE36" s="62">
        <f t="shared" si="3"/>
        <v>0</v>
      </c>
      <c r="AF36" s="65" t="str">
        <f t="shared" si="4"/>
        <v/>
      </c>
      <c r="AG36" s="63" t="str">
        <f t="shared" si="5"/>
        <v/>
      </c>
      <c r="AH36" s="64" t="str">
        <f t="shared" si="6"/>
        <v/>
      </c>
      <c r="AI36" s="63" t="str">
        <f t="shared" si="7"/>
        <v/>
      </c>
      <c r="AJ36" s="70" t="str">
        <f t="shared" si="8"/>
        <v/>
      </c>
      <c r="AK36" s="15"/>
      <c r="AL36" s="15"/>
      <c r="AM36" s="15"/>
      <c r="AN36" s="15"/>
    </row>
    <row r="37" spans="1:40" ht="20.100000000000001" customHeight="1" x14ac:dyDescent="0.3">
      <c r="A37" s="33">
        <v>30</v>
      </c>
      <c r="B37" s="34"/>
      <c r="C37" s="35"/>
      <c r="D37" s="36"/>
      <c r="E37" s="36"/>
      <c r="F37" s="36"/>
      <c r="G37" s="36"/>
      <c r="H37" s="36"/>
      <c r="I37" s="36"/>
      <c r="J37" s="36"/>
      <c r="K37" s="91"/>
      <c r="L37" s="35"/>
      <c r="M37" s="36"/>
      <c r="N37" s="36"/>
      <c r="O37" s="36"/>
      <c r="P37" s="36"/>
      <c r="Q37" s="91"/>
      <c r="R37" s="35"/>
      <c r="S37" s="36"/>
      <c r="T37" s="36"/>
      <c r="U37" s="36"/>
      <c r="V37" s="36"/>
      <c r="W37" s="37"/>
      <c r="X37" s="91"/>
      <c r="Y37" s="35"/>
      <c r="Z37" s="36"/>
      <c r="AA37" s="91"/>
      <c r="AB37" s="66">
        <f t="shared" si="0"/>
        <v>0</v>
      </c>
      <c r="AC37" s="66">
        <f t="shared" si="1"/>
        <v>0</v>
      </c>
      <c r="AD37" s="67">
        <f t="shared" si="2"/>
        <v>0</v>
      </c>
      <c r="AE37" s="66">
        <f t="shared" si="3"/>
        <v>0</v>
      </c>
      <c r="AF37" s="65" t="str">
        <f t="shared" si="4"/>
        <v/>
      </c>
      <c r="AG37" s="63" t="str">
        <f t="shared" si="5"/>
        <v/>
      </c>
      <c r="AH37" s="64" t="str">
        <f t="shared" si="6"/>
        <v/>
      </c>
      <c r="AI37" s="63" t="str">
        <f t="shared" si="7"/>
        <v/>
      </c>
      <c r="AJ37" s="70" t="str">
        <f t="shared" si="8"/>
        <v/>
      </c>
      <c r="AK37" s="15"/>
      <c r="AL37" s="15"/>
      <c r="AM37" s="15"/>
      <c r="AN37" s="15"/>
    </row>
    <row r="38" spans="1:40" ht="20.100000000000001" customHeight="1" x14ac:dyDescent="0.3">
      <c r="A38" s="27">
        <v>31</v>
      </c>
      <c r="B38" s="38"/>
      <c r="C38" s="39"/>
      <c r="D38" s="40"/>
      <c r="E38" s="40"/>
      <c r="F38" s="40"/>
      <c r="G38" s="40"/>
      <c r="H38" s="40"/>
      <c r="I38" s="40"/>
      <c r="J38" s="40"/>
      <c r="K38" s="92"/>
      <c r="L38" s="39"/>
      <c r="M38" s="40"/>
      <c r="N38" s="40"/>
      <c r="O38" s="40"/>
      <c r="P38" s="40"/>
      <c r="Q38" s="92"/>
      <c r="R38" s="39"/>
      <c r="S38" s="40"/>
      <c r="T38" s="40"/>
      <c r="U38" s="40"/>
      <c r="V38" s="40"/>
      <c r="W38" s="41"/>
      <c r="X38" s="92"/>
      <c r="Y38" s="39"/>
      <c r="Z38" s="40"/>
      <c r="AA38" s="92"/>
      <c r="AB38" s="62">
        <f t="shared" si="0"/>
        <v>0</v>
      </c>
      <c r="AC38" s="62">
        <f t="shared" si="1"/>
        <v>0</v>
      </c>
      <c r="AD38" s="68">
        <f t="shared" si="2"/>
        <v>0</v>
      </c>
      <c r="AE38" s="62">
        <f t="shared" si="3"/>
        <v>0</v>
      </c>
      <c r="AF38" s="65" t="str">
        <f t="shared" si="4"/>
        <v/>
      </c>
      <c r="AG38" s="63" t="str">
        <f t="shared" si="5"/>
        <v/>
      </c>
      <c r="AH38" s="64" t="str">
        <f t="shared" si="6"/>
        <v/>
      </c>
      <c r="AI38" s="63" t="str">
        <f t="shared" si="7"/>
        <v/>
      </c>
      <c r="AJ38" s="70" t="str">
        <f t="shared" si="8"/>
        <v/>
      </c>
      <c r="AK38" s="15"/>
      <c r="AL38" s="15"/>
      <c r="AM38" s="15"/>
      <c r="AN38" s="15"/>
    </row>
    <row r="39" spans="1:40" ht="20.100000000000001" customHeight="1" x14ac:dyDescent="0.3">
      <c r="A39" s="33">
        <v>32</v>
      </c>
      <c r="B39" s="34"/>
      <c r="C39" s="35"/>
      <c r="D39" s="36"/>
      <c r="E39" s="36"/>
      <c r="F39" s="36"/>
      <c r="G39" s="36"/>
      <c r="H39" s="36"/>
      <c r="I39" s="36"/>
      <c r="J39" s="36"/>
      <c r="K39" s="91"/>
      <c r="L39" s="35"/>
      <c r="M39" s="36"/>
      <c r="N39" s="36"/>
      <c r="O39" s="36"/>
      <c r="P39" s="36"/>
      <c r="Q39" s="91"/>
      <c r="R39" s="35"/>
      <c r="S39" s="36"/>
      <c r="T39" s="36"/>
      <c r="U39" s="36"/>
      <c r="V39" s="36"/>
      <c r="W39" s="37"/>
      <c r="X39" s="91"/>
      <c r="Y39" s="35"/>
      <c r="Z39" s="36"/>
      <c r="AA39" s="91"/>
      <c r="AB39" s="66">
        <f t="shared" si="0"/>
        <v>0</v>
      </c>
      <c r="AC39" s="66">
        <f t="shared" si="1"/>
        <v>0</v>
      </c>
      <c r="AD39" s="67">
        <f t="shared" si="2"/>
        <v>0</v>
      </c>
      <c r="AE39" s="66">
        <f t="shared" si="3"/>
        <v>0</v>
      </c>
      <c r="AF39" s="65" t="str">
        <f t="shared" si="4"/>
        <v/>
      </c>
      <c r="AG39" s="63" t="str">
        <f t="shared" si="5"/>
        <v/>
      </c>
      <c r="AH39" s="64" t="str">
        <f t="shared" si="6"/>
        <v/>
      </c>
      <c r="AI39" s="63" t="str">
        <f t="shared" si="7"/>
        <v/>
      </c>
      <c r="AJ39" s="70" t="str">
        <f t="shared" si="8"/>
        <v/>
      </c>
      <c r="AK39" s="15"/>
      <c r="AL39" s="15"/>
      <c r="AM39" s="15"/>
      <c r="AN39" s="15"/>
    </row>
    <row r="40" spans="1:40" ht="20.100000000000001" customHeight="1" x14ac:dyDescent="0.3">
      <c r="A40" s="27">
        <v>33</v>
      </c>
      <c r="B40" s="38"/>
      <c r="C40" s="39"/>
      <c r="D40" s="40"/>
      <c r="E40" s="40"/>
      <c r="F40" s="40"/>
      <c r="G40" s="40"/>
      <c r="H40" s="40"/>
      <c r="I40" s="40"/>
      <c r="J40" s="40"/>
      <c r="K40" s="92"/>
      <c r="L40" s="39"/>
      <c r="M40" s="40"/>
      <c r="N40" s="40"/>
      <c r="O40" s="40"/>
      <c r="P40" s="40"/>
      <c r="Q40" s="92"/>
      <c r="R40" s="39"/>
      <c r="S40" s="40"/>
      <c r="T40" s="40"/>
      <c r="U40" s="40"/>
      <c r="V40" s="40"/>
      <c r="W40" s="41"/>
      <c r="X40" s="92"/>
      <c r="Y40" s="39"/>
      <c r="Z40" s="40"/>
      <c r="AA40" s="92"/>
      <c r="AB40" s="62">
        <f t="shared" si="0"/>
        <v>0</v>
      </c>
      <c r="AC40" s="62">
        <f t="shared" si="1"/>
        <v>0</v>
      </c>
      <c r="AD40" s="68">
        <f t="shared" si="2"/>
        <v>0</v>
      </c>
      <c r="AE40" s="62">
        <f t="shared" si="3"/>
        <v>0</v>
      </c>
      <c r="AF40" s="65" t="str">
        <f t="shared" si="4"/>
        <v/>
      </c>
      <c r="AG40" s="63" t="str">
        <f t="shared" si="5"/>
        <v/>
      </c>
      <c r="AH40" s="64" t="str">
        <f t="shared" si="6"/>
        <v/>
      </c>
      <c r="AI40" s="63" t="str">
        <f t="shared" si="7"/>
        <v/>
      </c>
      <c r="AJ40" s="70" t="str">
        <f t="shared" si="8"/>
        <v/>
      </c>
      <c r="AK40" s="15"/>
      <c r="AL40" s="15"/>
      <c r="AM40" s="15"/>
      <c r="AN40" s="15"/>
    </row>
    <row r="41" spans="1:40" ht="20.100000000000001" customHeight="1" x14ac:dyDescent="0.3">
      <c r="A41" s="33">
        <v>34</v>
      </c>
      <c r="B41" s="34"/>
      <c r="C41" s="35"/>
      <c r="D41" s="36"/>
      <c r="E41" s="36"/>
      <c r="F41" s="36"/>
      <c r="G41" s="36"/>
      <c r="H41" s="36"/>
      <c r="I41" s="36"/>
      <c r="J41" s="36"/>
      <c r="K41" s="91"/>
      <c r="L41" s="35"/>
      <c r="M41" s="36"/>
      <c r="N41" s="36"/>
      <c r="O41" s="36"/>
      <c r="P41" s="36"/>
      <c r="Q41" s="91"/>
      <c r="R41" s="35"/>
      <c r="S41" s="36"/>
      <c r="T41" s="36"/>
      <c r="U41" s="36"/>
      <c r="V41" s="36"/>
      <c r="W41" s="37"/>
      <c r="X41" s="91"/>
      <c r="Y41" s="35"/>
      <c r="Z41" s="36"/>
      <c r="AA41" s="91"/>
      <c r="AB41" s="66">
        <f t="shared" si="0"/>
        <v>0</v>
      </c>
      <c r="AC41" s="66">
        <f t="shared" si="1"/>
        <v>0</v>
      </c>
      <c r="AD41" s="67">
        <f t="shared" si="2"/>
        <v>0</v>
      </c>
      <c r="AE41" s="66">
        <f t="shared" si="3"/>
        <v>0</v>
      </c>
      <c r="AF41" s="65" t="str">
        <f t="shared" si="4"/>
        <v/>
      </c>
      <c r="AG41" s="63" t="str">
        <f t="shared" si="5"/>
        <v/>
      </c>
      <c r="AH41" s="64" t="str">
        <f t="shared" si="6"/>
        <v/>
      </c>
      <c r="AI41" s="63" t="str">
        <f t="shared" si="7"/>
        <v/>
      </c>
      <c r="AJ41" s="70" t="str">
        <f t="shared" si="8"/>
        <v/>
      </c>
      <c r="AK41" s="15"/>
      <c r="AL41" s="15"/>
      <c r="AM41" s="15"/>
      <c r="AN41" s="15"/>
    </row>
    <row r="42" spans="1:40" ht="20.100000000000001" customHeight="1" x14ac:dyDescent="0.3">
      <c r="A42" s="27">
        <v>35</v>
      </c>
      <c r="B42" s="38"/>
      <c r="C42" s="39"/>
      <c r="D42" s="40"/>
      <c r="E42" s="40"/>
      <c r="F42" s="40"/>
      <c r="G42" s="40"/>
      <c r="H42" s="40"/>
      <c r="I42" s="40"/>
      <c r="J42" s="40"/>
      <c r="K42" s="92"/>
      <c r="L42" s="39"/>
      <c r="M42" s="40"/>
      <c r="N42" s="40"/>
      <c r="O42" s="40"/>
      <c r="P42" s="40"/>
      <c r="Q42" s="92"/>
      <c r="R42" s="39"/>
      <c r="S42" s="40"/>
      <c r="T42" s="40"/>
      <c r="U42" s="40"/>
      <c r="V42" s="40"/>
      <c r="W42" s="41"/>
      <c r="X42" s="92"/>
      <c r="Y42" s="39"/>
      <c r="Z42" s="40"/>
      <c r="AA42" s="92"/>
      <c r="AB42" s="62">
        <f t="shared" si="0"/>
        <v>0</v>
      </c>
      <c r="AC42" s="62">
        <f t="shared" si="1"/>
        <v>0</v>
      </c>
      <c r="AD42" s="68">
        <f t="shared" si="2"/>
        <v>0</v>
      </c>
      <c r="AE42" s="62">
        <f t="shared" si="3"/>
        <v>0</v>
      </c>
      <c r="AF42" s="65" t="str">
        <f t="shared" si="4"/>
        <v/>
      </c>
      <c r="AG42" s="63" t="str">
        <f t="shared" si="5"/>
        <v/>
      </c>
      <c r="AH42" s="64" t="str">
        <f t="shared" si="6"/>
        <v/>
      </c>
      <c r="AI42" s="63" t="str">
        <f t="shared" si="7"/>
        <v/>
      </c>
      <c r="AJ42" s="70" t="str">
        <f t="shared" si="8"/>
        <v/>
      </c>
      <c r="AK42" s="15"/>
      <c r="AL42" s="15"/>
      <c r="AM42" s="15"/>
      <c r="AN42" s="15"/>
    </row>
    <row r="43" spans="1:40" ht="20.100000000000001" customHeight="1" x14ac:dyDescent="0.3">
      <c r="A43" s="33">
        <v>36</v>
      </c>
      <c r="B43" s="34"/>
      <c r="C43" s="35"/>
      <c r="D43" s="36"/>
      <c r="E43" s="36"/>
      <c r="F43" s="36"/>
      <c r="G43" s="36"/>
      <c r="H43" s="36"/>
      <c r="I43" s="36"/>
      <c r="J43" s="36"/>
      <c r="K43" s="91"/>
      <c r="L43" s="35"/>
      <c r="M43" s="36"/>
      <c r="N43" s="36"/>
      <c r="O43" s="36"/>
      <c r="P43" s="36"/>
      <c r="Q43" s="91"/>
      <c r="R43" s="35"/>
      <c r="S43" s="36"/>
      <c r="T43" s="36"/>
      <c r="U43" s="36"/>
      <c r="V43" s="36"/>
      <c r="W43" s="37"/>
      <c r="X43" s="91"/>
      <c r="Y43" s="35"/>
      <c r="Z43" s="36"/>
      <c r="AA43" s="91"/>
      <c r="AB43" s="66">
        <f t="shared" si="0"/>
        <v>0</v>
      </c>
      <c r="AC43" s="66">
        <f t="shared" si="1"/>
        <v>0</v>
      </c>
      <c r="AD43" s="67">
        <f t="shared" si="2"/>
        <v>0</v>
      </c>
      <c r="AE43" s="66">
        <f t="shared" si="3"/>
        <v>0</v>
      </c>
      <c r="AF43" s="65" t="str">
        <f t="shared" si="4"/>
        <v/>
      </c>
      <c r="AG43" s="63" t="str">
        <f t="shared" si="5"/>
        <v/>
      </c>
      <c r="AH43" s="64" t="str">
        <f t="shared" si="6"/>
        <v/>
      </c>
      <c r="AI43" s="63" t="str">
        <f t="shared" si="7"/>
        <v/>
      </c>
      <c r="AJ43" s="70" t="str">
        <f t="shared" si="8"/>
        <v/>
      </c>
      <c r="AK43" s="15"/>
      <c r="AL43" s="15"/>
      <c r="AM43" s="15"/>
      <c r="AN43" s="15"/>
    </row>
    <row r="44" spans="1:40" ht="20.100000000000001" customHeight="1" x14ac:dyDescent="0.3">
      <c r="A44" s="27">
        <v>37</v>
      </c>
      <c r="B44" s="38"/>
      <c r="C44" s="39"/>
      <c r="D44" s="40"/>
      <c r="E44" s="40"/>
      <c r="F44" s="40"/>
      <c r="G44" s="40"/>
      <c r="H44" s="40"/>
      <c r="I44" s="40"/>
      <c r="J44" s="40"/>
      <c r="K44" s="92"/>
      <c r="L44" s="39"/>
      <c r="M44" s="40"/>
      <c r="N44" s="40"/>
      <c r="O44" s="40"/>
      <c r="P44" s="40"/>
      <c r="Q44" s="92"/>
      <c r="R44" s="39"/>
      <c r="S44" s="40"/>
      <c r="T44" s="40"/>
      <c r="U44" s="40"/>
      <c r="V44" s="40"/>
      <c r="W44" s="41"/>
      <c r="X44" s="92"/>
      <c r="Y44" s="39"/>
      <c r="Z44" s="40"/>
      <c r="AA44" s="92"/>
      <c r="AB44" s="62">
        <f t="shared" si="0"/>
        <v>0</v>
      </c>
      <c r="AC44" s="62">
        <f t="shared" si="1"/>
        <v>0</v>
      </c>
      <c r="AD44" s="68">
        <f t="shared" si="2"/>
        <v>0</v>
      </c>
      <c r="AE44" s="62">
        <f t="shared" si="3"/>
        <v>0</v>
      </c>
      <c r="AF44" s="65" t="str">
        <f t="shared" si="4"/>
        <v/>
      </c>
      <c r="AG44" s="63" t="str">
        <f t="shared" si="5"/>
        <v/>
      </c>
      <c r="AH44" s="64" t="str">
        <f t="shared" si="6"/>
        <v/>
      </c>
      <c r="AI44" s="63" t="str">
        <f t="shared" si="7"/>
        <v/>
      </c>
      <c r="AJ44" s="70" t="str">
        <f t="shared" si="8"/>
        <v/>
      </c>
      <c r="AK44" s="15"/>
      <c r="AL44" s="15"/>
      <c r="AM44" s="15"/>
      <c r="AN44" s="15"/>
    </row>
    <row r="45" spans="1:40" ht="20.100000000000001" customHeight="1" x14ac:dyDescent="0.3">
      <c r="A45" s="33">
        <v>38</v>
      </c>
      <c r="B45" s="34"/>
      <c r="C45" s="35"/>
      <c r="D45" s="36"/>
      <c r="E45" s="36"/>
      <c r="F45" s="36"/>
      <c r="G45" s="36"/>
      <c r="H45" s="36"/>
      <c r="I45" s="36"/>
      <c r="J45" s="36"/>
      <c r="K45" s="91"/>
      <c r="L45" s="35"/>
      <c r="M45" s="36"/>
      <c r="N45" s="36"/>
      <c r="O45" s="36"/>
      <c r="P45" s="36"/>
      <c r="Q45" s="91"/>
      <c r="R45" s="35"/>
      <c r="S45" s="36"/>
      <c r="T45" s="36"/>
      <c r="U45" s="36"/>
      <c r="V45" s="36"/>
      <c r="W45" s="37"/>
      <c r="X45" s="91"/>
      <c r="Y45" s="35"/>
      <c r="Z45" s="36"/>
      <c r="AA45" s="91"/>
      <c r="AB45" s="66">
        <f t="shared" si="0"/>
        <v>0</v>
      </c>
      <c r="AC45" s="66">
        <f t="shared" si="1"/>
        <v>0</v>
      </c>
      <c r="AD45" s="67">
        <f t="shared" si="2"/>
        <v>0</v>
      </c>
      <c r="AE45" s="66">
        <f t="shared" si="3"/>
        <v>0</v>
      </c>
      <c r="AF45" s="65" t="str">
        <f t="shared" si="4"/>
        <v/>
      </c>
      <c r="AG45" s="63" t="str">
        <f t="shared" si="5"/>
        <v/>
      </c>
      <c r="AH45" s="64" t="str">
        <f t="shared" si="6"/>
        <v/>
      </c>
      <c r="AI45" s="63" t="str">
        <f t="shared" si="7"/>
        <v/>
      </c>
      <c r="AJ45" s="70" t="str">
        <f t="shared" si="8"/>
        <v/>
      </c>
      <c r="AK45" s="15"/>
      <c r="AL45" s="15"/>
      <c r="AM45" s="15"/>
      <c r="AN45" s="15"/>
    </row>
    <row r="46" spans="1:40" ht="20.100000000000001" customHeight="1" x14ac:dyDescent="0.3">
      <c r="A46" s="27">
        <v>39</v>
      </c>
      <c r="B46" s="38"/>
      <c r="C46" s="39"/>
      <c r="D46" s="40"/>
      <c r="E46" s="40"/>
      <c r="F46" s="40"/>
      <c r="G46" s="40"/>
      <c r="H46" s="40"/>
      <c r="I46" s="40"/>
      <c r="J46" s="40"/>
      <c r="K46" s="92"/>
      <c r="L46" s="39"/>
      <c r="M46" s="40"/>
      <c r="N46" s="40"/>
      <c r="O46" s="40"/>
      <c r="P46" s="40"/>
      <c r="Q46" s="92"/>
      <c r="R46" s="39"/>
      <c r="S46" s="40"/>
      <c r="T46" s="40"/>
      <c r="U46" s="40"/>
      <c r="V46" s="40"/>
      <c r="W46" s="41"/>
      <c r="X46" s="92"/>
      <c r="Y46" s="39"/>
      <c r="Z46" s="40"/>
      <c r="AA46" s="92"/>
      <c r="AB46" s="62">
        <f t="shared" si="0"/>
        <v>0</v>
      </c>
      <c r="AC46" s="62">
        <f t="shared" si="1"/>
        <v>0</v>
      </c>
      <c r="AD46" s="68">
        <f t="shared" si="2"/>
        <v>0</v>
      </c>
      <c r="AE46" s="62">
        <f t="shared" si="3"/>
        <v>0</v>
      </c>
      <c r="AF46" s="65" t="str">
        <f t="shared" si="4"/>
        <v/>
      </c>
      <c r="AG46" s="63" t="str">
        <f t="shared" si="5"/>
        <v/>
      </c>
      <c r="AH46" s="64" t="str">
        <f t="shared" si="6"/>
        <v/>
      </c>
      <c r="AI46" s="63" t="str">
        <f t="shared" si="7"/>
        <v/>
      </c>
      <c r="AJ46" s="70" t="str">
        <f t="shared" si="8"/>
        <v/>
      </c>
      <c r="AK46" s="15"/>
      <c r="AL46" s="15"/>
      <c r="AM46" s="15"/>
      <c r="AN46" s="15"/>
    </row>
    <row r="47" spans="1:40" ht="20.100000000000001" customHeight="1" thickBot="1" x14ac:dyDescent="0.35">
      <c r="A47" s="42">
        <v>40</v>
      </c>
      <c r="B47" s="43"/>
      <c r="C47" s="47"/>
      <c r="D47" s="48"/>
      <c r="E47" s="48"/>
      <c r="F47" s="48"/>
      <c r="G47" s="48"/>
      <c r="H47" s="48"/>
      <c r="I47" s="48"/>
      <c r="J47" s="48"/>
      <c r="K47" s="93"/>
      <c r="L47" s="47"/>
      <c r="M47" s="48"/>
      <c r="N47" s="48"/>
      <c r="O47" s="48"/>
      <c r="P47" s="48"/>
      <c r="Q47" s="93"/>
      <c r="R47" s="47"/>
      <c r="S47" s="48"/>
      <c r="T47" s="48"/>
      <c r="U47" s="48"/>
      <c r="V47" s="48"/>
      <c r="W47" s="115"/>
      <c r="X47" s="93"/>
      <c r="Y47" s="47"/>
      <c r="Z47" s="48"/>
      <c r="AA47" s="93"/>
      <c r="AB47" s="71">
        <f t="shared" si="0"/>
        <v>0</v>
      </c>
      <c r="AC47" s="71">
        <f t="shared" si="1"/>
        <v>0</v>
      </c>
      <c r="AD47" s="72">
        <f t="shared" si="2"/>
        <v>0</v>
      </c>
      <c r="AE47" s="71">
        <f t="shared" si="3"/>
        <v>0</v>
      </c>
      <c r="AF47" s="65" t="str">
        <f t="shared" si="4"/>
        <v/>
      </c>
      <c r="AG47" s="63" t="str">
        <f t="shared" si="5"/>
        <v/>
      </c>
      <c r="AH47" s="64" t="str">
        <f t="shared" si="6"/>
        <v/>
      </c>
      <c r="AI47" s="63" t="str">
        <f t="shared" si="7"/>
        <v/>
      </c>
      <c r="AJ47" s="70" t="str">
        <f t="shared" si="8"/>
        <v/>
      </c>
      <c r="AK47" s="15"/>
      <c r="AL47" s="15"/>
      <c r="AM47" s="15"/>
      <c r="AN47" s="15"/>
    </row>
    <row r="48" spans="1:40" ht="27" customHeight="1" thickBot="1" x14ac:dyDescent="0.35">
      <c r="A48" s="191" t="s">
        <v>31</v>
      </c>
      <c r="B48" s="192"/>
      <c r="C48" s="49" t="s">
        <v>10</v>
      </c>
      <c r="D48" s="49" t="s">
        <v>11</v>
      </c>
      <c r="E48" s="49" t="s">
        <v>12</v>
      </c>
      <c r="F48" s="49" t="s">
        <v>13</v>
      </c>
      <c r="G48" s="49" t="s">
        <v>14</v>
      </c>
      <c r="H48" s="49" t="s">
        <v>15</v>
      </c>
      <c r="I48" s="49" t="s">
        <v>16</v>
      </c>
      <c r="J48" s="49" t="s">
        <v>17</v>
      </c>
      <c r="K48" s="49" t="s">
        <v>18</v>
      </c>
      <c r="L48" s="49" t="s">
        <v>19</v>
      </c>
      <c r="M48" s="49" t="s">
        <v>20</v>
      </c>
      <c r="N48" s="49" t="s">
        <v>21</v>
      </c>
      <c r="O48" s="49" t="s">
        <v>22</v>
      </c>
      <c r="P48" s="49" t="s">
        <v>23</v>
      </c>
      <c r="Q48" s="49" t="s">
        <v>24</v>
      </c>
      <c r="R48" s="49" t="s">
        <v>25</v>
      </c>
      <c r="S48" s="49" t="s">
        <v>26</v>
      </c>
      <c r="T48" s="49" t="s">
        <v>27</v>
      </c>
      <c r="U48" s="49" t="s">
        <v>28</v>
      </c>
      <c r="V48" s="49" t="s">
        <v>29</v>
      </c>
      <c r="W48" s="49" t="s">
        <v>53</v>
      </c>
      <c r="X48" s="49" t="s">
        <v>54</v>
      </c>
      <c r="Y48" s="49" t="s">
        <v>55</v>
      </c>
      <c r="Z48" s="49" t="s">
        <v>56</v>
      </c>
      <c r="AA48" s="49" t="s">
        <v>67</v>
      </c>
      <c r="AB48" s="15"/>
      <c r="AC48" s="15"/>
      <c r="AD48" s="193" t="s">
        <v>32</v>
      </c>
      <c r="AE48" s="194"/>
      <c r="AF48" s="194"/>
      <c r="AG48" s="194"/>
      <c r="AH48" s="194"/>
      <c r="AI48" s="194"/>
      <c r="AJ48" s="195"/>
      <c r="AK48" s="15"/>
      <c r="AL48" s="15"/>
      <c r="AM48" s="15"/>
      <c r="AN48" s="15"/>
    </row>
    <row r="49" spans="1:40" ht="27" customHeight="1" x14ac:dyDescent="0.3">
      <c r="A49" s="156" t="s">
        <v>6</v>
      </c>
      <c r="B49" s="157"/>
      <c r="C49" s="74">
        <f t="shared" ref="C49" si="9">COUNTIF(C8:C47,3)/COUNTA(C8:C47)*1</f>
        <v>1</v>
      </c>
      <c r="D49" s="74">
        <f t="shared" ref="D49:AA49" si="10">COUNTIF(D8:D47,3)/COUNTA(D8:D47)*1</f>
        <v>1</v>
      </c>
      <c r="E49" s="74">
        <f t="shared" si="10"/>
        <v>1</v>
      </c>
      <c r="F49" s="74">
        <f t="shared" si="10"/>
        <v>1</v>
      </c>
      <c r="G49" s="74">
        <f t="shared" si="10"/>
        <v>1</v>
      </c>
      <c r="H49" s="74">
        <f t="shared" si="10"/>
        <v>0</v>
      </c>
      <c r="I49" s="74">
        <f t="shared" si="10"/>
        <v>0</v>
      </c>
      <c r="J49" s="74">
        <f t="shared" si="10"/>
        <v>1</v>
      </c>
      <c r="K49" s="74">
        <f t="shared" si="10"/>
        <v>1</v>
      </c>
      <c r="L49" s="74">
        <f t="shared" si="10"/>
        <v>1</v>
      </c>
      <c r="M49" s="74">
        <f t="shared" si="10"/>
        <v>0.66666666666666663</v>
      </c>
      <c r="N49" s="74">
        <f t="shared" si="10"/>
        <v>0.66666666666666663</v>
      </c>
      <c r="O49" s="74">
        <f t="shared" si="10"/>
        <v>0</v>
      </c>
      <c r="P49" s="74">
        <f t="shared" si="10"/>
        <v>1</v>
      </c>
      <c r="Q49" s="74">
        <f t="shared" si="10"/>
        <v>1</v>
      </c>
      <c r="R49" s="74">
        <f t="shared" si="10"/>
        <v>1</v>
      </c>
      <c r="S49" s="74">
        <f t="shared" si="10"/>
        <v>1</v>
      </c>
      <c r="T49" s="74">
        <f t="shared" si="10"/>
        <v>1</v>
      </c>
      <c r="U49" s="74">
        <f t="shared" si="10"/>
        <v>0.5</v>
      </c>
      <c r="V49" s="74">
        <f t="shared" si="10"/>
        <v>1</v>
      </c>
      <c r="W49" s="74">
        <f t="shared" si="10"/>
        <v>1</v>
      </c>
      <c r="X49" s="74">
        <f t="shared" si="10"/>
        <v>1</v>
      </c>
      <c r="Y49" s="74">
        <f t="shared" si="10"/>
        <v>0</v>
      </c>
      <c r="Z49" s="74">
        <f t="shared" si="10"/>
        <v>0</v>
      </c>
      <c r="AA49" s="74">
        <f t="shared" si="10"/>
        <v>0.5</v>
      </c>
      <c r="AB49" s="15"/>
      <c r="AC49" s="15"/>
      <c r="AD49" s="158" t="s">
        <v>2</v>
      </c>
      <c r="AE49" s="159"/>
      <c r="AF49" s="164" t="s">
        <v>50</v>
      </c>
      <c r="AG49" s="222" t="s">
        <v>58</v>
      </c>
      <c r="AH49" s="164" t="s">
        <v>64</v>
      </c>
      <c r="AI49" s="222" t="s">
        <v>66</v>
      </c>
      <c r="AJ49" s="167" t="s">
        <v>33</v>
      </c>
      <c r="AK49" s="236"/>
      <c r="AL49" s="116"/>
      <c r="AM49" s="15"/>
      <c r="AN49" s="15"/>
    </row>
    <row r="50" spans="1:40" ht="27" customHeight="1" x14ac:dyDescent="0.3">
      <c r="A50" s="148" t="s">
        <v>68</v>
      </c>
      <c r="B50" s="149"/>
      <c r="C50" s="75">
        <f>COUNTIF(C9:C48,2)/COUNTA(C9:C48)*1</f>
        <v>0</v>
      </c>
      <c r="D50" s="75">
        <f t="shared" ref="D50:AA50" si="11">COUNTIF(D9:D48,2)/COUNTA(D9:D48)*1</f>
        <v>0</v>
      </c>
      <c r="E50" s="75">
        <f t="shared" si="11"/>
        <v>0</v>
      </c>
      <c r="F50" s="75">
        <f t="shared" si="11"/>
        <v>0</v>
      </c>
      <c r="G50" s="75">
        <f t="shared" si="11"/>
        <v>0</v>
      </c>
      <c r="H50" s="75">
        <f t="shared" si="11"/>
        <v>0</v>
      </c>
      <c r="I50" s="75">
        <f t="shared" si="11"/>
        <v>0</v>
      </c>
      <c r="J50" s="75">
        <f t="shared" si="11"/>
        <v>0</v>
      </c>
      <c r="K50" s="75">
        <f t="shared" si="11"/>
        <v>0</v>
      </c>
      <c r="L50" s="75">
        <f t="shared" si="11"/>
        <v>0</v>
      </c>
      <c r="M50" s="75">
        <f t="shared" si="11"/>
        <v>0</v>
      </c>
      <c r="N50" s="75">
        <f t="shared" si="11"/>
        <v>0</v>
      </c>
      <c r="O50" s="75">
        <f t="shared" si="11"/>
        <v>0</v>
      </c>
      <c r="P50" s="75">
        <f t="shared" si="11"/>
        <v>0</v>
      </c>
      <c r="Q50" s="75">
        <f t="shared" si="11"/>
        <v>0</v>
      </c>
      <c r="R50" s="75">
        <f t="shared" si="11"/>
        <v>0</v>
      </c>
      <c r="S50" s="75">
        <f t="shared" si="11"/>
        <v>0</v>
      </c>
      <c r="T50" s="75">
        <f t="shared" si="11"/>
        <v>0</v>
      </c>
      <c r="U50" s="75">
        <f t="shared" si="11"/>
        <v>0.5</v>
      </c>
      <c r="V50" s="75">
        <f t="shared" si="11"/>
        <v>0</v>
      </c>
      <c r="W50" s="75">
        <f t="shared" si="11"/>
        <v>0</v>
      </c>
      <c r="X50" s="75">
        <f t="shared" si="11"/>
        <v>0</v>
      </c>
      <c r="Y50" s="75">
        <f t="shared" si="11"/>
        <v>0</v>
      </c>
      <c r="Z50" s="75">
        <f t="shared" si="11"/>
        <v>0</v>
      </c>
      <c r="AA50" s="75">
        <f t="shared" si="11"/>
        <v>0</v>
      </c>
      <c r="AB50" s="15"/>
      <c r="AC50" s="15"/>
      <c r="AD50" s="160"/>
      <c r="AE50" s="161"/>
      <c r="AF50" s="165"/>
      <c r="AG50" s="223"/>
      <c r="AH50" s="165"/>
      <c r="AI50" s="223"/>
      <c r="AJ50" s="168"/>
      <c r="AK50" s="236"/>
      <c r="AL50" s="116"/>
      <c r="AM50" s="15"/>
      <c r="AN50" s="15"/>
    </row>
    <row r="51" spans="1:40" ht="26.25" customHeight="1" thickBot="1" x14ac:dyDescent="0.35">
      <c r="A51" s="150" t="s">
        <v>7</v>
      </c>
      <c r="B51" s="151"/>
      <c r="C51" s="76">
        <f>COUNTIF(C8:C47,1)/COUNTA(C8:C47)*1</f>
        <v>0</v>
      </c>
      <c r="D51" s="76">
        <f t="shared" ref="D51:AA51" si="12">COUNTIF(D8:D47,1)/COUNTA(D8:D47)*1</f>
        <v>0</v>
      </c>
      <c r="E51" s="76">
        <f t="shared" si="12"/>
        <v>0</v>
      </c>
      <c r="F51" s="76">
        <f t="shared" si="12"/>
        <v>0</v>
      </c>
      <c r="G51" s="76">
        <f t="shared" si="12"/>
        <v>0</v>
      </c>
      <c r="H51" s="76">
        <f t="shared" si="12"/>
        <v>0</v>
      </c>
      <c r="I51" s="76">
        <f t="shared" si="12"/>
        <v>0</v>
      </c>
      <c r="J51" s="76">
        <f t="shared" si="12"/>
        <v>0</v>
      </c>
      <c r="K51" s="76">
        <f t="shared" si="12"/>
        <v>0</v>
      </c>
      <c r="L51" s="76">
        <f t="shared" si="12"/>
        <v>0</v>
      </c>
      <c r="M51" s="76">
        <f t="shared" si="12"/>
        <v>0.33333333333333331</v>
      </c>
      <c r="N51" s="76">
        <f t="shared" si="12"/>
        <v>0.33333333333333331</v>
      </c>
      <c r="O51" s="76">
        <f t="shared" si="12"/>
        <v>1</v>
      </c>
      <c r="P51" s="76">
        <f t="shared" si="12"/>
        <v>0</v>
      </c>
      <c r="Q51" s="76">
        <f t="shared" si="12"/>
        <v>0</v>
      </c>
      <c r="R51" s="76">
        <f t="shared" si="12"/>
        <v>0</v>
      </c>
      <c r="S51" s="76">
        <f t="shared" si="12"/>
        <v>0</v>
      </c>
      <c r="T51" s="76">
        <f t="shared" si="12"/>
        <v>0</v>
      </c>
      <c r="U51" s="76">
        <f t="shared" si="12"/>
        <v>0</v>
      </c>
      <c r="V51" s="76">
        <f t="shared" si="12"/>
        <v>0</v>
      </c>
      <c r="W51" s="76">
        <f t="shared" si="12"/>
        <v>0</v>
      </c>
      <c r="X51" s="76">
        <f t="shared" si="12"/>
        <v>0</v>
      </c>
      <c r="Y51" s="76">
        <f t="shared" si="12"/>
        <v>0</v>
      </c>
      <c r="Z51" s="76">
        <f t="shared" si="12"/>
        <v>0</v>
      </c>
      <c r="AA51" s="76">
        <f t="shared" si="12"/>
        <v>0</v>
      </c>
      <c r="AB51" s="15"/>
      <c r="AC51" s="15"/>
      <c r="AD51" s="162"/>
      <c r="AE51" s="163"/>
      <c r="AF51" s="166"/>
      <c r="AG51" s="224"/>
      <c r="AH51" s="166"/>
      <c r="AI51" s="224"/>
      <c r="AJ51" s="169"/>
      <c r="AK51" s="236"/>
      <c r="AL51" s="116"/>
      <c r="AM51" s="15"/>
      <c r="AN51" s="15"/>
    </row>
    <row r="52" spans="1:40" ht="20.100000000000001" customHeight="1" thickBot="1" x14ac:dyDescent="0.35">
      <c r="A52" s="152" t="s">
        <v>8</v>
      </c>
      <c r="B52" s="153"/>
      <c r="C52" s="77">
        <f>COUNTIF(C8:C47,0)/COUNTA(C8:C47)*1</f>
        <v>0</v>
      </c>
      <c r="D52" s="77">
        <f t="shared" ref="D52:AA52" si="13">COUNTIF(D8:D47,0)/COUNTA(D8:D47)*1</f>
        <v>0</v>
      </c>
      <c r="E52" s="77">
        <f t="shared" si="13"/>
        <v>0</v>
      </c>
      <c r="F52" s="77">
        <f t="shared" si="13"/>
        <v>0</v>
      </c>
      <c r="G52" s="77">
        <f t="shared" si="13"/>
        <v>0</v>
      </c>
      <c r="H52" s="77">
        <f t="shared" si="13"/>
        <v>1</v>
      </c>
      <c r="I52" s="77">
        <f t="shared" si="13"/>
        <v>1</v>
      </c>
      <c r="J52" s="77">
        <f t="shared" si="13"/>
        <v>0</v>
      </c>
      <c r="K52" s="77">
        <f t="shared" si="13"/>
        <v>0</v>
      </c>
      <c r="L52" s="77">
        <f t="shared" si="13"/>
        <v>0</v>
      </c>
      <c r="M52" s="77">
        <f t="shared" si="13"/>
        <v>0</v>
      </c>
      <c r="N52" s="77">
        <f t="shared" si="13"/>
        <v>0</v>
      </c>
      <c r="O52" s="77">
        <f t="shared" si="13"/>
        <v>0</v>
      </c>
      <c r="P52" s="77">
        <f t="shared" si="13"/>
        <v>0</v>
      </c>
      <c r="Q52" s="77">
        <f t="shared" si="13"/>
        <v>0</v>
      </c>
      <c r="R52" s="77">
        <f t="shared" si="13"/>
        <v>0</v>
      </c>
      <c r="S52" s="77">
        <f t="shared" si="13"/>
        <v>0</v>
      </c>
      <c r="T52" s="77">
        <f t="shared" si="13"/>
        <v>0</v>
      </c>
      <c r="U52" s="77">
        <f t="shared" si="13"/>
        <v>0</v>
      </c>
      <c r="V52" s="77">
        <f t="shared" si="13"/>
        <v>0</v>
      </c>
      <c r="W52" s="77">
        <f t="shared" si="13"/>
        <v>0</v>
      </c>
      <c r="X52" s="77">
        <f t="shared" si="13"/>
        <v>0</v>
      </c>
      <c r="Y52" s="77">
        <f t="shared" si="13"/>
        <v>1</v>
      </c>
      <c r="Z52" s="77">
        <f t="shared" si="13"/>
        <v>1</v>
      </c>
      <c r="AA52" s="77">
        <f t="shared" si="13"/>
        <v>0.5</v>
      </c>
      <c r="AB52" s="15"/>
      <c r="AC52" s="15"/>
      <c r="AD52" s="154" t="s">
        <v>34</v>
      </c>
      <c r="AE52" s="155"/>
      <c r="AF52" s="79">
        <f>COUNTIFS(AF8:AF47,"Logrado")</f>
        <v>0</v>
      </c>
      <c r="AG52" s="79">
        <f t="shared" ref="AG52:AJ52" si="14">COUNTIFS(AG8:AG47,"Logrado")</f>
        <v>0</v>
      </c>
      <c r="AH52" s="79">
        <f t="shared" si="14"/>
        <v>1</v>
      </c>
      <c r="AI52" s="79">
        <f t="shared" si="14"/>
        <v>0</v>
      </c>
      <c r="AJ52" s="79">
        <f t="shared" si="14"/>
        <v>0</v>
      </c>
      <c r="AK52" s="15"/>
      <c r="AL52" s="15"/>
      <c r="AM52" s="15"/>
      <c r="AN52" s="15"/>
    </row>
    <row r="53" spans="1:40" ht="20.100000000000001" customHeight="1" thickBot="1" x14ac:dyDescent="0.35">
      <c r="A53" s="187" t="s">
        <v>35</v>
      </c>
      <c r="B53" s="188"/>
      <c r="C53" s="78">
        <f>SUM(C49:C52)</f>
        <v>1</v>
      </c>
      <c r="D53" s="78">
        <f t="shared" ref="D53:AA53" si="15">SUM(D49:D52)</f>
        <v>1</v>
      </c>
      <c r="E53" s="78">
        <f t="shared" si="15"/>
        <v>1</v>
      </c>
      <c r="F53" s="78">
        <f t="shared" si="15"/>
        <v>1</v>
      </c>
      <c r="G53" s="78">
        <f t="shared" si="15"/>
        <v>1</v>
      </c>
      <c r="H53" s="78">
        <f t="shared" si="15"/>
        <v>1</v>
      </c>
      <c r="I53" s="78">
        <f t="shared" si="15"/>
        <v>1</v>
      </c>
      <c r="J53" s="78">
        <f t="shared" si="15"/>
        <v>1</v>
      </c>
      <c r="K53" s="78">
        <f t="shared" si="15"/>
        <v>1</v>
      </c>
      <c r="L53" s="78">
        <f t="shared" si="15"/>
        <v>1</v>
      </c>
      <c r="M53" s="78">
        <f t="shared" si="15"/>
        <v>1</v>
      </c>
      <c r="N53" s="78">
        <f t="shared" si="15"/>
        <v>1</v>
      </c>
      <c r="O53" s="78">
        <f t="shared" si="15"/>
        <v>1</v>
      </c>
      <c r="P53" s="78">
        <f t="shared" si="15"/>
        <v>1</v>
      </c>
      <c r="Q53" s="78">
        <f t="shared" si="15"/>
        <v>1</v>
      </c>
      <c r="R53" s="78">
        <f t="shared" si="15"/>
        <v>1</v>
      </c>
      <c r="S53" s="78">
        <f t="shared" si="15"/>
        <v>1</v>
      </c>
      <c r="T53" s="78">
        <f t="shared" si="15"/>
        <v>1</v>
      </c>
      <c r="U53" s="78">
        <f t="shared" si="15"/>
        <v>1</v>
      </c>
      <c r="V53" s="78">
        <f t="shared" si="15"/>
        <v>1</v>
      </c>
      <c r="W53" s="78">
        <f t="shared" si="15"/>
        <v>1</v>
      </c>
      <c r="X53" s="78">
        <f t="shared" si="15"/>
        <v>1</v>
      </c>
      <c r="Y53" s="78">
        <f t="shared" si="15"/>
        <v>1</v>
      </c>
      <c r="Z53" s="78">
        <f t="shared" si="15"/>
        <v>1</v>
      </c>
      <c r="AA53" s="78">
        <f t="shared" si="15"/>
        <v>1</v>
      </c>
      <c r="AB53" s="15"/>
      <c r="AC53" s="15"/>
      <c r="AD53" s="189" t="s">
        <v>36</v>
      </c>
      <c r="AE53" s="190"/>
      <c r="AF53" s="80">
        <f>COUNTIFS(AF8:AF47,"Proceso")</f>
        <v>1</v>
      </c>
      <c r="AG53" s="80">
        <f t="shared" ref="AG53:AJ53" si="16">COUNTIFS(AG8:AG47,"Proceso")</f>
        <v>2</v>
      </c>
      <c r="AH53" s="80">
        <f t="shared" si="16"/>
        <v>0</v>
      </c>
      <c r="AI53" s="80">
        <f t="shared" si="16"/>
        <v>0</v>
      </c>
      <c r="AJ53" s="80">
        <f t="shared" si="16"/>
        <v>1</v>
      </c>
      <c r="AK53" s="15"/>
      <c r="AL53" s="15"/>
      <c r="AM53" s="15"/>
      <c r="AN53" s="15"/>
    </row>
    <row r="54" spans="1:40" ht="20.100000000000001" customHeight="1" x14ac:dyDescent="0.3">
      <c r="A54" s="50"/>
      <c r="B54" s="50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15"/>
      <c r="AC54" s="15"/>
      <c r="AD54" s="179" t="s">
        <v>37</v>
      </c>
      <c r="AE54" s="180"/>
      <c r="AF54" s="80">
        <f>COUNTIFS(AF8:AF47,"Inicio")</f>
        <v>0</v>
      </c>
      <c r="AG54" s="80">
        <f t="shared" ref="AG54:AJ54" si="17">COUNTIFS(AG8:AG47,"Inicio")</f>
        <v>1</v>
      </c>
      <c r="AH54" s="80">
        <f t="shared" si="17"/>
        <v>1</v>
      </c>
      <c r="AI54" s="80">
        <f t="shared" si="17"/>
        <v>1</v>
      </c>
      <c r="AJ54" s="80">
        <f t="shared" si="17"/>
        <v>0</v>
      </c>
      <c r="AK54" s="15"/>
      <c r="AL54" s="15"/>
      <c r="AM54" s="15"/>
      <c r="AN54" s="15"/>
    </row>
    <row r="55" spans="1:40" ht="20.100000000000001" customHeight="1" thickBot="1" x14ac:dyDescent="0.35">
      <c r="A55" s="50"/>
      <c r="B55" s="50"/>
      <c r="C55" s="94"/>
      <c r="D55" s="9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228" t="s">
        <v>38</v>
      </c>
      <c r="AE55" s="229"/>
      <c r="AF55" s="95">
        <f>COUNTIFS(AF8:AF47,"Previo al inicio")</f>
        <v>0</v>
      </c>
      <c r="AG55" s="95">
        <f t="shared" ref="AG55:AJ55" si="18">COUNTIFS(AG8:AG47,"Previo al inicio")</f>
        <v>0</v>
      </c>
      <c r="AH55" s="95">
        <f t="shared" si="18"/>
        <v>0</v>
      </c>
      <c r="AI55" s="95">
        <f t="shared" si="18"/>
        <v>1</v>
      </c>
      <c r="AJ55" s="95">
        <f t="shared" si="18"/>
        <v>2</v>
      </c>
      <c r="AK55" s="15"/>
      <c r="AL55" s="15"/>
      <c r="AM55" s="15"/>
      <c r="AN55" s="15"/>
    </row>
    <row r="56" spans="1:40" ht="34.5" customHeight="1" thickBot="1" x14ac:dyDescent="0.35">
      <c r="A56" s="181" t="s">
        <v>39</v>
      </c>
      <c r="B56" s="182"/>
      <c r="C56" s="82" t="str">
        <f t="shared" ref="C56:AA56" si="19">IF(COUNTIF(C8:C47,3)/COUNTA(C8:C47)&lt;=0.25,"Previo al inicio",
   IF(COUNTIF(C8:C47,3)/COUNTA(C8:C47)&lt;=0.5,"Inicio",
   IF(COUNTIF(C8:C47,3)/COUNTA(C8:C47)&lt;=0.75,"Proceso",
   "Logrado")))</f>
        <v>Logrado</v>
      </c>
      <c r="D56" s="83" t="str">
        <f t="shared" si="19"/>
        <v>Logrado</v>
      </c>
      <c r="E56" s="83" t="str">
        <f t="shared" si="19"/>
        <v>Logrado</v>
      </c>
      <c r="F56" s="83" t="str">
        <f t="shared" si="19"/>
        <v>Logrado</v>
      </c>
      <c r="G56" s="83" t="str">
        <f t="shared" si="19"/>
        <v>Logrado</v>
      </c>
      <c r="H56" s="83" t="str">
        <f t="shared" si="19"/>
        <v>Previo al inicio</v>
      </c>
      <c r="I56" s="83" t="str">
        <f t="shared" si="19"/>
        <v>Previo al inicio</v>
      </c>
      <c r="J56" s="83" t="str">
        <f t="shared" si="19"/>
        <v>Logrado</v>
      </c>
      <c r="K56" s="84" t="str">
        <f t="shared" si="19"/>
        <v>Logrado</v>
      </c>
      <c r="L56" s="85" t="str">
        <f t="shared" si="19"/>
        <v>Logrado</v>
      </c>
      <c r="M56" s="83" t="str">
        <f t="shared" si="19"/>
        <v>Proceso</v>
      </c>
      <c r="N56" s="83" t="str">
        <f t="shared" si="19"/>
        <v>Proceso</v>
      </c>
      <c r="O56" s="83" t="str">
        <f t="shared" si="19"/>
        <v>Previo al inicio</v>
      </c>
      <c r="P56" s="83" t="str">
        <f t="shared" si="19"/>
        <v>Logrado</v>
      </c>
      <c r="Q56" s="97" t="str">
        <f t="shared" si="19"/>
        <v>Logrado</v>
      </c>
      <c r="R56" s="82" t="str">
        <f t="shared" si="19"/>
        <v>Logrado</v>
      </c>
      <c r="S56" s="83" t="str">
        <f t="shared" si="19"/>
        <v>Logrado</v>
      </c>
      <c r="T56" s="83" t="str">
        <f t="shared" si="19"/>
        <v>Logrado</v>
      </c>
      <c r="U56" s="83" t="str">
        <f t="shared" si="19"/>
        <v>Inicio</v>
      </c>
      <c r="V56" s="83" t="str">
        <f t="shared" si="19"/>
        <v>Logrado</v>
      </c>
      <c r="W56" s="83" t="str">
        <f t="shared" si="19"/>
        <v>Logrado</v>
      </c>
      <c r="X56" s="84" t="str">
        <f t="shared" si="19"/>
        <v>Logrado</v>
      </c>
      <c r="Y56" s="85" t="str">
        <f t="shared" si="19"/>
        <v>Previo al inicio</v>
      </c>
      <c r="Z56" s="83" t="str">
        <f t="shared" si="19"/>
        <v>Previo al inicio</v>
      </c>
      <c r="AA56" s="84" t="str">
        <f t="shared" si="19"/>
        <v>Inicio</v>
      </c>
      <c r="AB56" s="15"/>
      <c r="AC56" s="15"/>
      <c r="AD56" s="183" t="s">
        <v>40</v>
      </c>
      <c r="AE56" s="184"/>
      <c r="AF56" s="96">
        <f>SUM(AF52:AF55)</f>
        <v>1</v>
      </c>
      <c r="AG56" s="96">
        <f t="shared" ref="AG56:AJ56" si="20">SUM(AG52:AG55)</f>
        <v>3</v>
      </c>
      <c r="AH56" s="96">
        <f t="shared" si="20"/>
        <v>2</v>
      </c>
      <c r="AI56" s="96">
        <f t="shared" si="20"/>
        <v>2</v>
      </c>
      <c r="AJ56" s="96">
        <f t="shared" si="20"/>
        <v>3</v>
      </c>
      <c r="AK56" s="15"/>
      <c r="AL56" s="15"/>
      <c r="AM56" s="15"/>
      <c r="AN56" s="15"/>
    </row>
    <row r="57" spans="1:40" ht="25.5" customHeight="1" thickBot="1" x14ac:dyDescent="0.35">
      <c r="A57" s="185" t="s">
        <v>41</v>
      </c>
      <c r="B57" s="230"/>
      <c r="C57" s="231" t="str">
        <f>IF(SUM(C49:K49)&lt;=225%,"Previo al inicio",
   IF(SUM(C49:K49)&lt;=450%,"Inicio",
   IF(SUM(C49:K49)&lt;=675%,"Proceso",
   "Logrado")))</f>
        <v>Logrado</v>
      </c>
      <c r="D57" s="232"/>
      <c r="E57" s="232"/>
      <c r="F57" s="232"/>
      <c r="G57" s="232"/>
      <c r="H57" s="232"/>
      <c r="I57" s="232"/>
      <c r="J57" s="232"/>
      <c r="K57" s="233"/>
      <c r="L57" s="231" t="str">
        <f>IF(SUM(L49:Q49)&lt;=150%,"Previo al inicio",
   IF(SUM(L49:Q49)&lt;=300%,"Inicio",
   IF(SUM(L49:Q49)&lt;=450%,"Proceso",
   "Logrado")))</f>
        <v>Proceso</v>
      </c>
      <c r="M57" s="232"/>
      <c r="N57" s="232"/>
      <c r="O57" s="232"/>
      <c r="P57" s="232"/>
      <c r="Q57" s="232"/>
      <c r="R57" s="231" t="str">
        <f>IF(SUM(R49:X49)&lt;=175%,"Previo al inicio",
   IF(SUM(R49:X49)&lt;=350%,"Inicio",
   IF(SUM(R49:X49)&lt;=525%,"Proceso",
   "Logrado")))</f>
        <v>Logrado</v>
      </c>
      <c r="S57" s="232"/>
      <c r="T57" s="232"/>
      <c r="U57" s="232"/>
      <c r="V57" s="232"/>
      <c r="W57" s="232"/>
      <c r="X57" s="232"/>
      <c r="Y57" s="231" t="str">
        <f>IF(SUM(Y49:AA49)&lt;=75%,"Previo al inicio",
   IF(SUM(Y49:AA49)&lt;=150%,"Inicio",
   IF(SUM(Y49:AA49)&lt;=225%,"Proceso",
   "Logrado")))</f>
        <v>Previo al inicio</v>
      </c>
      <c r="Z57" s="232"/>
      <c r="AA57" s="233"/>
      <c r="AB57" s="52"/>
      <c r="AC57" s="52"/>
      <c r="AD57" s="52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spans="1:40" ht="15.6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spans="1:40" ht="16.2" thickBo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</row>
    <row r="60" spans="1:40" ht="16.2" thickBot="1" x14ac:dyDescent="0.35">
      <c r="A60" s="15"/>
      <c r="B60" s="170" t="s">
        <v>42</v>
      </c>
      <c r="C60" s="171"/>
      <c r="D60" s="172"/>
      <c r="E60" s="53"/>
      <c r="F60" s="54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spans="1:40" ht="15.6" x14ac:dyDescent="0.3">
      <c r="A61" s="15"/>
      <c r="B61" s="55" t="s">
        <v>6</v>
      </c>
      <c r="C61" s="56" t="s">
        <v>43</v>
      </c>
      <c r="D61" s="40">
        <v>3</v>
      </c>
      <c r="E61" s="57"/>
      <c r="F61" s="57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spans="1:40" ht="15.6" x14ac:dyDescent="0.3">
      <c r="A62" s="15"/>
      <c r="B62" s="55" t="s">
        <v>68</v>
      </c>
      <c r="C62" s="56" t="s">
        <v>69</v>
      </c>
      <c r="D62" s="36">
        <v>2</v>
      </c>
      <c r="E62" s="57"/>
      <c r="F62" s="57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spans="1:40" ht="15.6" x14ac:dyDescent="0.3">
      <c r="A63" s="15"/>
      <c r="B63" s="58" t="s">
        <v>7</v>
      </c>
      <c r="C63" s="59" t="s">
        <v>44</v>
      </c>
      <c r="D63" s="40">
        <v>1</v>
      </c>
      <c r="E63" s="57"/>
      <c r="F63" s="57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</row>
    <row r="64" spans="1:40" ht="16.2" thickBot="1" x14ac:dyDescent="0.35">
      <c r="A64" s="15"/>
      <c r="B64" s="60" t="s">
        <v>8</v>
      </c>
      <c r="C64" s="61" t="s">
        <v>45</v>
      </c>
      <c r="D64" s="36">
        <v>0</v>
      </c>
      <c r="E64" s="57"/>
      <c r="F64" s="57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spans="1:40" ht="15.6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spans="1:40" ht="15.6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spans="1:40" ht="15.6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spans="1:40" ht="15.6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spans="1:40" ht="15.6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spans="1:40" ht="15.6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spans="1:40" ht="15.6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spans="1:40" ht="15.6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spans="1:40" ht="15.6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spans="1:40" ht="15.6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spans="1:40" ht="15.6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spans="1:40" ht="15.6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spans="1:40" ht="15.6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</sheetData>
  <sheetProtection algorithmName="SHA-512" hashValue="Tz5/0wRh959leTDP7ti1Rr6O9iERpNNd3NyCiVQ1J65argbhfHLVuO1wimIOiFYOj/dsv9GdQkuOOOnqKQNEpQ==" saltValue="mAXzOFe4fzZQK7ZDST1P9A==" spinCount="100000" sheet="1" objects="1" scenarios="1"/>
  <mergeCells count="45">
    <mergeCell ref="B60:D60"/>
    <mergeCell ref="AD54:AE54"/>
    <mergeCell ref="AD55:AE55"/>
    <mergeCell ref="A56:B56"/>
    <mergeCell ref="AD56:AE56"/>
    <mergeCell ref="A57:B57"/>
    <mergeCell ref="C57:K57"/>
    <mergeCell ref="L57:Q57"/>
    <mergeCell ref="R57:X57"/>
    <mergeCell ref="Y57:AA57"/>
    <mergeCell ref="AK49:AK51"/>
    <mergeCell ref="A50:B50"/>
    <mergeCell ref="A51:B51"/>
    <mergeCell ref="A52:B52"/>
    <mergeCell ref="AD52:AE52"/>
    <mergeCell ref="AG6:AG7"/>
    <mergeCell ref="AH6:AH7"/>
    <mergeCell ref="AI6:AI7"/>
    <mergeCell ref="A53:B53"/>
    <mergeCell ref="AD53:AE53"/>
    <mergeCell ref="A48:B48"/>
    <mergeCell ref="AD48:AJ48"/>
    <mergeCell ref="A49:B49"/>
    <mergeCell ref="AD49:AE51"/>
    <mergeCell ref="AF49:AF51"/>
    <mergeCell ref="AG49:AG51"/>
    <mergeCell ref="AH49:AH51"/>
    <mergeCell ref="AI49:AI51"/>
    <mergeCell ref="AJ49:AJ51"/>
    <mergeCell ref="A1:AJ1"/>
    <mergeCell ref="A3:B3"/>
    <mergeCell ref="C3:AJ3"/>
    <mergeCell ref="A5:A7"/>
    <mergeCell ref="C5:K5"/>
    <mergeCell ref="L5:Q5"/>
    <mergeCell ref="R5:X5"/>
    <mergeCell ref="Y5:AA5"/>
    <mergeCell ref="AB5:AE5"/>
    <mergeCell ref="AF5:AI5"/>
    <mergeCell ref="AJ5:AJ7"/>
    <mergeCell ref="AB6:AB7"/>
    <mergeCell ref="AC6:AC7"/>
    <mergeCell ref="AD6:AD7"/>
    <mergeCell ref="AE6:AE7"/>
    <mergeCell ref="AF6:AF7"/>
  </mergeCells>
  <conditionalFormatting sqref="AJ8:AJ47 C56:AA56">
    <cfRule type="expression" dxfId="23" priority="13">
      <formula>C8="Logrado"</formula>
    </cfRule>
    <cfRule type="expression" dxfId="22" priority="14">
      <formula>C8="Proceso"</formula>
    </cfRule>
    <cfRule type="expression" dxfId="21" priority="15">
      <formula>C8="Inicio"</formula>
    </cfRule>
    <cfRule type="expression" dxfId="20" priority="16">
      <formula>C8="Previo al Inicio"</formula>
    </cfRule>
  </conditionalFormatting>
  <conditionalFormatting sqref="AF8:AI47">
    <cfRule type="expression" dxfId="19" priority="9">
      <formula>AF8="Previo al inicio"</formula>
    </cfRule>
    <cfRule type="expression" dxfId="18" priority="10">
      <formula>AF8="Inicio"</formula>
    </cfRule>
    <cfRule type="expression" dxfId="17" priority="11">
      <formula>AF8="Proceso"</formula>
    </cfRule>
    <cfRule type="expression" dxfId="16" priority="12">
      <formula>AF8="Logrado"</formula>
    </cfRule>
  </conditionalFormatting>
  <conditionalFormatting sqref="C57 L57 R57 Y57">
    <cfRule type="expression" dxfId="15" priority="5">
      <formula>C57="Previo al inicio"</formula>
    </cfRule>
    <cfRule type="expression" dxfId="14" priority="6">
      <formula>C57="Inicio"</formula>
    </cfRule>
    <cfRule type="expression" dxfId="13" priority="7">
      <formula>C57="Proceso"</formula>
    </cfRule>
    <cfRule type="expression" dxfId="12" priority="8">
      <formula>C57="Logrado"</formula>
    </cfRule>
  </conditionalFormatting>
  <dataValidations count="1">
    <dataValidation type="list" showInputMessage="1" showErrorMessage="1" sqref="D61:D64 C8:AA47" xr:uid="{00000000-0002-0000-0400-000000000000}">
      <formula1>"0,1,2,3"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04212345-6FF8-4E67-B2AC-5650F49F5BF7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E61:F62</xm:sqref>
        </x14:conditionalFormatting>
        <x14:conditionalFormatting xmlns:xm="http://schemas.microsoft.com/office/excel/2006/main">
          <x14:cfRule type="iconSet" priority="3" id="{B9B3CFD0-B5E4-420F-B8FC-44ED433F65BB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E63:F63</xm:sqref>
        </x14:conditionalFormatting>
        <x14:conditionalFormatting xmlns:xm="http://schemas.microsoft.com/office/excel/2006/main">
          <x14:cfRule type="iconSet" priority="2" id="{A78BCBA0-4F6E-432E-ADE2-C4EE2AF9F53D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E64:F64</xm:sqref>
        </x14:conditionalFormatting>
        <x14:conditionalFormatting xmlns:xm="http://schemas.microsoft.com/office/excel/2006/main">
          <x14:cfRule type="iconSet" priority="1" id="{9AD2A445-98E4-4720-93E9-DB43CC644926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D61:D64</xm:sqref>
        </x14:conditionalFormatting>
        <x14:conditionalFormatting xmlns:xm="http://schemas.microsoft.com/office/excel/2006/main">
          <x14:cfRule type="iconSet" priority="191" id="{B0D00F6C-D1D1-47BF-B221-C86DE4ADFD81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C20:AA20 C26:AA26 C32:AA32 C38:AA38 C44:AA44 C8:AA14</xm:sqref>
        </x14:conditionalFormatting>
        <x14:conditionalFormatting xmlns:xm="http://schemas.microsoft.com/office/excel/2006/main">
          <x14:cfRule type="iconSet" priority="203" id="{221F520F-3DA0-4B93-B8B8-CDCB6ED0B24D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C15:AA19</xm:sqref>
        </x14:conditionalFormatting>
        <x14:conditionalFormatting xmlns:xm="http://schemas.microsoft.com/office/excel/2006/main">
          <x14:cfRule type="iconSet" priority="205" id="{410DBA74-82AE-4993-B119-78176F01FA18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C21:AA25</xm:sqref>
        </x14:conditionalFormatting>
        <x14:conditionalFormatting xmlns:xm="http://schemas.microsoft.com/office/excel/2006/main">
          <x14:cfRule type="iconSet" priority="207" id="{2508E44B-3BBC-4148-9E2E-B9CB941694A3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C27:AA31</xm:sqref>
        </x14:conditionalFormatting>
        <x14:conditionalFormatting xmlns:xm="http://schemas.microsoft.com/office/excel/2006/main">
          <x14:cfRule type="iconSet" priority="209" id="{4C329234-BD54-446E-9D5E-7C7B7AE86CDD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C33:AA37</xm:sqref>
        </x14:conditionalFormatting>
        <x14:conditionalFormatting xmlns:xm="http://schemas.microsoft.com/office/excel/2006/main">
          <x14:cfRule type="iconSet" priority="211" id="{63FFE0CB-9BBD-4E75-A31B-E5927C8E405B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C39:AA43</xm:sqref>
        </x14:conditionalFormatting>
        <x14:conditionalFormatting xmlns:xm="http://schemas.microsoft.com/office/excel/2006/main">
          <x14:cfRule type="iconSet" priority="213" id="{12307F70-733E-441A-BBBE-0206D65F8A2F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C45:AA47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77"/>
  <sheetViews>
    <sheetView topLeftCell="L31" zoomScale="50" zoomScaleNormal="50" workbookViewId="0">
      <selection activeCell="B15" sqref="B15"/>
    </sheetView>
  </sheetViews>
  <sheetFormatPr baseColWidth="10" defaultRowHeight="14.4" x14ac:dyDescent="0.3"/>
  <cols>
    <col min="1" max="1" width="6.44140625" customWidth="1"/>
    <col min="2" max="2" width="44" customWidth="1"/>
    <col min="3" max="30" width="12.6640625" customWidth="1"/>
    <col min="31" max="34" width="10.6640625" customWidth="1"/>
    <col min="35" max="38" width="22.33203125" customWidth="1"/>
    <col min="39" max="39" width="21" customWidth="1"/>
    <col min="41" max="41" width="17.5546875" customWidth="1"/>
  </cols>
  <sheetData>
    <row r="1" spans="1:43" ht="33.6" thickBot="1" x14ac:dyDescent="0.65">
      <c r="A1" s="129" t="s">
        <v>76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1"/>
      <c r="AN1" s="1"/>
      <c r="AO1" s="1"/>
      <c r="AP1" s="1"/>
      <c r="AQ1" s="1"/>
    </row>
    <row r="2" spans="1:43" ht="16.2" thickBo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"/>
      <c r="AO2" s="1"/>
      <c r="AP2" s="1"/>
      <c r="AQ2" s="1"/>
    </row>
    <row r="3" spans="1:43" ht="21.6" thickBot="1" x14ac:dyDescent="0.45">
      <c r="A3" s="132" t="s">
        <v>0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6"/>
      <c r="AN3" s="1"/>
      <c r="AO3" s="1"/>
      <c r="AP3" s="1"/>
      <c r="AQ3" s="1"/>
    </row>
    <row r="4" spans="1:43" ht="16.2" thickBot="1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"/>
      <c r="AO4" s="1"/>
      <c r="AP4" s="1"/>
      <c r="AQ4" s="1"/>
    </row>
    <row r="5" spans="1:43" ht="52.5" customHeight="1" thickBot="1" x14ac:dyDescent="0.35">
      <c r="A5" s="137" t="s">
        <v>1</v>
      </c>
      <c r="B5" s="17" t="s">
        <v>2</v>
      </c>
      <c r="C5" s="139" t="s">
        <v>50</v>
      </c>
      <c r="D5" s="140"/>
      <c r="E5" s="140"/>
      <c r="F5" s="140"/>
      <c r="G5" s="140"/>
      <c r="H5" s="140"/>
      <c r="I5" s="140"/>
      <c r="J5" s="140"/>
      <c r="K5" s="140"/>
      <c r="L5" s="140"/>
      <c r="M5" s="234"/>
      <c r="N5" s="139" t="s">
        <v>58</v>
      </c>
      <c r="O5" s="140"/>
      <c r="P5" s="140"/>
      <c r="Q5" s="140"/>
      <c r="R5" s="140"/>
      <c r="S5" s="234"/>
      <c r="T5" s="213"/>
      <c r="U5" s="139" t="s">
        <v>64</v>
      </c>
      <c r="V5" s="140"/>
      <c r="W5" s="140"/>
      <c r="X5" s="140"/>
      <c r="Y5" s="140"/>
      <c r="Z5" s="213"/>
      <c r="AA5" s="139" t="s">
        <v>66</v>
      </c>
      <c r="AB5" s="140"/>
      <c r="AC5" s="234"/>
      <c r="AD5" s="213"/>
      <c r="AE5" s="141" t="s">
        <v>3</v>
      </c>
      <c r="AF5" s="142"/>
      <c r="AG5" s="143"/>
      <c r="AH5" s="144"/>
      <c r="AI5" s="145" t="s">
        <v>2</v>
      </c>
      <c r="AJ5" s="214"/>
      <c r="AK5" s="214"/>
      <c r="AL5" s="215"/>
      <c r="AM5" s="216" t="s">
        <v>4</v>
      </c>
      <c r="AN5" s="1"/>
      <c r="AO5" s="1"/>
      <c r="AP5" s="1"/>
      <c r="AQ5" s="1"/>
    </row>
    <row r="6" spans="1:43" ht="151.5" customHeight="1" thickBot="1" x14ac:dyDescent="0.35">
      <c r="A6" s="138"/>
      <c r="B6" s="18" t="s">
        <v>5</v>
      </c>
      <c r="C6" s="87" t="s">
        <v>47</v>
      </c>
      <c r="D6" s="86" t="s">
        <v>47</v>
      </c>
      <c r="E6" s="86" t="s">
        <v>47</v>
      </c>
      <c r="F6" s="86" t="s">
        <v>48</v>
      </c>
      <c r="G6" s="86" t="s">
        <v>47</v>
      </c>
      <c r="H6" s="86" t="s">
        <v>46</v>
      </c>
      <c r="I6" s="86" t="s">
        <v>48</v>
      </c>
      <c r="J6" s="86" t="s">
        <v>49</v>
      </c>
      <c r="K6" s="86" t="s">
        <v>47</v>
      </c>
      <c r="L6" s="86" t="s">
        <v>46</v>
      </c>
      <c r="M6" s="117" t="s">
        <v>47</v>
      </c>
      <c r="N6" s="109" t="s">
        <v>57</v>
      </c>
      <c r="O6" s="110" t="s">
        <v>57</v>
      </c>
      <c r="P6" s="110" t="s">
        <v>57</v>
      </c>
      <c r="Q6" s="110" t="s">
        <v>57</v>
      </c>
      <c r="R6" s="110" t="s">
        <v>71</v>
      </c>
      <c r="S6" s="110" t="s">
        <v>52</v>
      </c>
      <c r="T6" s="111" t="s">
        <v>51</v>
      </c>
      <c r="U6" s="118" t="s">
        <v>62</v>
      </c>
      <c r="V6" s="21" t="s">
        <v>61</v>
      </c>
      <c r="W6" s="21" t="s">
        <v>60</v>
      </c>
      <c r="X6" s="21" t="s">
        <v>59</v>
      </c>
      <c r="Y6" s="21" t="s">
        <v>60</v>
      </c>
      <c r="Z6" s="119" t="s">
        <v>61</v>
      </c>
      <c r="AA6" s="109" t="s">
        <v>73</v>
      </c>
      <c r="AB6" s="110" t="s">
        <v>65</v>
      </c>
      <c r="AC6" s="110" t="s">
        <v>63</v>
      </c>
      <c r="AD6" s="114" t="s">
        <v>65</v>
      </c>
      <c r="AE6" s="235" t="s">
        <v>6</v>
      </c>
      <c r="AF6" s="201" t="s">
        <v>68</v>
      </c>
      <c r="AG6" s="203" t="s">
        <v>7</v>
      </c>
      <c r="AH6" s="125" t="s">
        <v>8</v>
      </c>
      <c r="AI6" s="127" t="s">
        <v>50</v>
      </c>
      <c r="AJ6" s="218" t="s">
        <v>58</v>
      </c>
      <c r="AK6" s="220" t="s">
        <v>64</v>
      </c>
      <c r="AL6" s="218" t="s">
        <v>66</v>
      </c>
      <c r="AM6" s="217"/>
      <c r="AN6" s="1"/>
      <c r="AO6" s="1"/>
      <c r="AP6" s="1"/>
      <c r="AQ6" s="1"/>
    </row>
    <row r="7" spans="1:43" ht="24" customHeight="1" thickBot="1" x14ac:dyDescent="0.35">
      <c r="A7" s="138"/>
      <c r="B7" s="22" t="s">
        <v>9</v>
      </c>
      <c r="C7" s="23" t="s">
        <v>10</v>
      </c>
      <c r="D7" s="24" t="s">
        <v>11</v>
      </c>
      <c r="E7" s="24" t="s">
        <v>12</v>
      </c>
      <c r="F7" s="24" t="s">
        <v>13</v>
      </c>
      <c r="G7" s="24" t="s">
        <v>14</v>
      </c>
      <c r="H7" s="24" t="s">
        <v>15</v>
      </c>
      <c r="I7" s="24" t="s">
        <v>16</v>
      </c>
      <c r="J7" s="24" t="s">
        <v>17</v>
      </c>
      <c r="K7" s="24" t="s">
        <v>18</v>
      </c>
      <c r="L7" s="24" t="s">
        <v>19</v>
      </c>
      <c r="M7" s="26" t="s">
        <v>20</v>
      </c>
      <c r="N7" s="120" t="s">
        <v>21</v>
      </c>
      <c r="O7" s="120" t="s">
        <v>22</v>
      </c>
      <c r="P7" s="120" t="s">
        <v>23</v>
      </c>
      <c r="Q7" s="120" t="s">
        <v>24</v>
      </c>
      <c r="R7" s="120" t="s">
        <v>25</v>
      </c>
      <c r="S7" s="120" t="s">
        <v>26</v>
      </c>
      <c r="T7" s="121" t="s">
        <v>27</v>
      </c>
      <c r="U7" s="23" t="s">
        <v>28</v>
      </c>
      <c r="V7" s="24" t="s">
        <v>29</v>
      </c>
      <c r="W7" s="24" t="s">
        <v>53</v>
      </c>
      <c r="X7" s="24" t="s">
        <v>54</v>
      </c>
      <c r="Y7" s="24" t="s">
        <v>55</v>
      </c>
      <c r="Z7" s="26" t="s">
        <v>56</v>
      </c>
      <c r="AA7" s="120" t="s">
        <v>67</v>
      </c>
      <c r="AB7" s="120" t="s">
        <v>72</v>
      </c>
      <c r="AC7" s="120" t="s">
        <v>77</v>
      </c>
      <c r="AD7" s="120" t="s">
        <v>78</v>
      </c>
      <c r="AE7" s="200"/>
      <c r="AF7" s="202"/>
      <c r="AG7" s="204"/>
      <c r="AH7" s="126"/>
      <c r="AI7" s="128"/>
      <c r="AJ7" s="219"/>
      <c r="AK7" s="221"/>
      <c r="AL7" s="219"/>
      <c r="AM7" s="217"/>
      <c r="AN7" s="1"/>
      <c r="AO7" s="1"/>
      <c r="AP7" s="1"/>
      <c r="AQ7" s="1"/>
    </row>
    <row r="8" spans="1:43" ht="20.100000000000001" customHeight="1" x14ac:dyDescent="0.3">
      <c r="A8" s="27">
        <v>1</v>
      </c>
      <c r="B8" s="28"/>
      <c r="C8" s="29">
        <v>3</v>
      </c>
      <c r="D8" s="30">
        <v>3</v>
      </c>
      <c r="E8" s="30">
        <v>3</v>
      </c>
      <c r="F8" s="30">
        <v>3</v>
      </c>
      <c r="G8" s="30">
        <v>3</v>
      </c>
      <c r="H8" s="30">
        <v>0</v>
      </c>
      <c r="I8" s="30">
        <v>0</v>
      </c>
      <c r="J8" s="30">
        <v>1</v>
      </c>
      <c r="K8" s="30">
        <v>2</v>
      </c>
      <c r="L8" s="30">
        <v>3</v>
      </c>
      <c r="M8" s="90">
        <v>3</v>
      </c>
      <c r="N8" s="29">
        <v>3</v>
      </c>
      <c r="O8" s="30">
        <v>3</v>
      </c>
      <c r="P8" s="30">
        <v>3</v>
      </c>
      <c r="Q8" s="30">
        <v>3</v>
      </c>
      <c r="R8" s="30">
        <v>3</v>
      </c>
      <c r="S8" s="31">
        <v>3</v>
      </c>
      <c r="T8" s="90">
        <v>3</v>
      </c>
      <c r="U8" s="29">
        <v>1</v>
      </c>
      <c r="V8" s="30">
        <v>1</v>
      </c>
      <c r="W8" s="30">
        <v>1</v>
      </c>
      <c r="X8" s="30">
        <v>3</v>
      </c>
      <c r="Y8" s="30">
        <v>3</v>
      </c>
      <c r="Z8" s="90">
        <v>3</v>
      </c>
      <c r="AA8" s="29">
        <v>3</v>
      </c>
      <c r="AB8" s="30">
        <v>3</v>
      </c>
      <c r="AC8" s="31">
        <v>3</v>
      </c>
      <c r="AD8" s="90">
        <v>3</v>
      </c>
      <c r="AE8" s="63">
        <f t="shared" ref="AE8:AE47" si="0">COUNTIF(C8:AD8,3)</f>
        <v>21</v>
      </c>
      <c r="AF8" s="63">
        <f t="shared" ref="AF8:AF47" si="1">COUNTIF(C8:AD8,2)</f>
        <v>1</v>
      </c>
      <c r="AG8" s="64">
        <f t="shared" ref="AG8:AG47" si="2">COUNTIF(C8:AD8,1)</f>
        <v>4</v>
      </c>
      <c r="AH8" s="63">
        <f t="shared" ref="AH8:AH47" si="3">COUNTIF(C8:AD8,0)</f>
        <v>2</v>
      </c>
      <c r="AI8" s="65" t="str">
        <f>IF(COUNTA(C8:M8)=0,"",
   IF(COUNTIF(C8:M8,3)&lt;=2,"Previo al Inicio",
      IF(COUNTIF(C8:M8,3)&lt;=5,"Inicio",
         IF(COUNTIF(C8:M8,3)&lt;=8,"Proceso",
            IF(COUNTIF(C8:M8,3)&lt;=11,"Logrado","")))))</f>
        <v>Proceso</v>
      </c>
      <c r="AJ8" s="63" t="str">
        <f>IF(COUNTA(N8:T8)=0,"",
   IF(COUNTIF(N8:T8,3)&lt;=1,"Previo al Inicio",
      IF(COUNTIF(N8:T8,3)&lt;=3,"Inicio",
         IF(COUNTIF(N8:T8,3)&lt;=5,"Proceso",
            IF(COUNTIF(N8:T8,3)&lt;=7,"Logrado","")))))</f>
        <v>Logrado</v>
      </c>
      <c r="AK8" s="64" t="str">
        <f>IF(COUNTA(U8:Z8)=0,"",
   IF(COUNTIF(U8:Z8,3)&lt;=1,"Previo al Inicio",
      IF(COUNTIF(U8:Z8,3)&lt;=3,"Inicio",
         IF(COUNTIF(U8:Z8,3)&lt;=5,"Proceso",
            IF(COUNTIF(U8:Z8,3)=6,"Logrado","")))))</f>
        <v>Inicio</v>
      </c>
      <c r="AL8" s="63" t="str">
        <f>IF(COUNTA(AA8:AD8)=0,"",
   IF(COUNTIF(AA8:AD8,3)&lt;=1,"Previo al Inicio",
      IF(COUNTIF(AA8:AD8,3)=2,"Inicio",
         IF(COUNTIF(AA8:AD8,3)=3,"Proceso",
            IF(COUNTIF(AA8:AD8,3)=4,"Logrado","")))))</f>
        <v>Logrado</v>
      </c>
      <c r="AM8" s="70" t="str">
        <f>IF(COUNTA(C8:AD8)=0,"",
   IF(COUNTIF(C8:AD8,3)&lt;=7,"Previo al Inicio",
      IF(COUNTIF(C8:AD8,3)&lt;=14,"Inicio",
         IF(COUNTIF(C8:AD8,3)&lt;=21,"Proceso",
            IF(COUNTIF(C8:AD8,3)&lt;=28,"Logrado","")))))</f>
        <v>Proceso</v>
      </c>
      <c r="AN8" s="1"/>
      <c r="AO8" s="1"/>
      <c r="AP8" s="1"/>
      <c r="AQ8" s="1"/>
    </row>
    <row r="9" spans="1:43" ht="20.100000000000001" customHeight="1" x14ac:dyDescent="0.3">
      <c r="A9" s="33">
        <v>2</v>
      </c>
      <c r="B9" s="34"/>
      <c r="C9" s="35">
        <v>1</v>
      </c>
      <c r="D9" s="36">
        <v>3</v>
      </c>
      <c r="E9" s="36">
        <v>1</v>
      </c>
      <c r="F9" s="36">
        <v>3</v>
      </c>
      <c r="G9" s="36">
        <v>1</v>
      </c>
      <c r="H9" s="36">
        <v>3</v>
      </c>
      <c r="I9" s="36">
        <v>3</v>
      </c>
      <c r="J9" s="36">
        <v>1</v>
      </c>
      <c r="K9" s="36">
        <v>1</v>
      </c>
      <c r="L9" s="36">
        <v>3</v>
      </c>
      <c r="M9" s="91">
        <v>1</v>
      </c>
      <c r="N9" s="35">
        <v>3</v>
      </c>
      <c r="O9" s="36">
        <v>3</v>
      </c>
      <c r="P9" s="36">
        <v>3</v>
      </c>
      <c r="Q9" s="36">
        <v>3</v>
      </c>
      <c r="R9" s="36">
        <v>3</v>
      </c>
      <c r="S9" s="37">
        <v>1</v>
      </c>
      <c r="T9" s="91">
        <v>1</v>
      </c>
      <c r="U9" s="35">
        <v>1</v>
      </c>
      <c r="V9" s="36">
        <v>1</v>
      </c>
      <c r="W9" s="36">
        <v>1</v>
      </c>
      <c r="X9" s="36">
        <v>1</v>
      </c>
      <c r="Y9" s="36">
        <v>1</v>
      </c>
      <c r="Z9" s="91">
        <v>1</v>
      </c>
      <c r="AA9" s="35">
        <v>1</v>
      </c>
      <c r="AB9" s="36">
        <v>1</v>
      </c>
      <c r="AC9" s="37">
        <v>1</v>
      </c>
      <c r="AD9" s="91">
        <v>1</v>
      </c>
      <c r="AE9" s="66">
        <f t="shared" si="0"/>
        <v>10</v>
      </c>
      <c r="AF9" s="66">
        <f t="shared" si="1"/>
        <v>0</v>
      </c>
      <c r="AG9" s="67">
        <f t="shared" si="2"/>
        <v>18</v>
      </c>
      <c r="AH9" s="66">
        <f t="shared" si="3"/>
        <v>0</v>
      </c>
      <c r="AI9" s="65" t="str">
        <f t="shared" ref="AI9:AI47" si="4">IF(COUNTA(C9:M9)=0,"",
   IF(COUNTIF(C9:M9,3)&lt;=2,"Previo al Inicio",
      IF(COUNTIF(C9:M9,3)&lt;=5,"Inicio",
         IF(COUNTIF(C9:M9,3)&lt;=8,"Proceso",
            IF(COUNTIF(C9:M9,3)&lt;=11,"Logrado","")))))</f>
        <v>Inicio</v>
      </c>
      <c r="AJ9" s="63" t="str">
        <f t="shared" ref="AJ9:AJ47" si="5">IF(COUNTA(N9:T9)=0,"",
   IF(COUNTIF(N9:T9,3)&lt;=1,"Previo al Inicio",
      IF(COUNTIF(N9:T9,3)&lt;=3,"Inicio",
         IF(COUNTIF(N9:T9,3)&lt;=5,"Proceso",
            IF(COUNTIF(N9:T9,3)&lt;=7,"Logrado","")))))</f>
        <v>Proceso</v>
      </c>
      <c r="AK9" s="64" t="str">
        <f t="shared" ref="AK9:AK47" si="6">IF(COUNTA(U9:Z9)=0,"",
   IF(COUNTIF(U9:Z9,3)&lt;=1,"Previo al Inicio",
      IF(COUNTIF(U9:Z9,3)&lt;=3,"Inicio",
         IF(COUNTIF(U9:Z9,3)&lt;=5,"Proceso",
            IF(COUNTIF(U9:Z9,3)=6,"Logrado","")))))</f>
        <v>Previo al Inicio</v>
      </c>
      <c r="AL9" s="63" t="str">
        <f t="shared" ref="AL9:AL47" si="7">IF(COUNTA(AA9:AD9)=0,"",
   IF(COUNTIF(AA9:AD9,3)&lt;=1,"Previo al Inicio",
      IF(COUNTIF(AA9:AD9,3)=2,"Inicio",
         IF(COUNTIF(AA9:AD9,3)=3,"Proceso",
            IF(COUNTIF(AA9:AD9,3)=4,"Logrado","")))))</f>
        <v>Previo al Inicio</v>
      </c>
      <c r="AM9" s="70" t="str">
        <f t="shared" ref="AM9:AM47" si="8">IF(COUNTA(C9:AD9)=0,"",
   IF(COUNTIF(C9:AD9,3)&lt;=7,"Previo al Inicio",
      IF(COUNTIF(C9:AD9,3)&lt;=14,"Inicio",
         IF(COUNTIF(C9:AD9,3)&lt;=21,"Proceso",
            IF(COUNTIF(C9:AD9,3)&lt;=28,"Logrado","")))))</f>
        <v>Inicio</v>
      </c>
      <c r="AN9" s="1"/>
      <c r="AO9" s="1"/>
      <c r="AP9" s="1"/>
      <c r="AQ9" s="1"/>
    </row>
    <row r="10" spans="1:43" ht="20.100000000000001" customHeight="1" x14ac:dyDescent="0.3">
      <c r="A10" s="27">
        <v>3</v>
      </c>
      <c r="B10" s="38"/>
      <c r="C10" s="39">
        <v>3</v>
      </c>
      <c r="D10" s="40">
        <v>3</v>
      </c>
      <c r="E10" s="40">
        <v>3</v>
      </c>
      <c r="F10" s="40">
        <v>3</v>
      </c>
      <c r="G10" s="40">
        <v>3</v>
      </c>
      <c r="H10" s="40">
        <v>3</v>
      </c>
      <c r="I10" s="40">
        <v>3</v>
      </c>
      <c r="J10" s="40">
        <v>3</v>
      </c>
      <c r="K10" s="40">
        <v>3</v>
      </c>
      <c r="L10" s="40">
        <v>3</v>
      </c>
      <c r="M10" s="92">
        <v>3</v>
      </c>
      <c r="N10" s="39">
        <v>3</v>
      </c>
      <c r="O10" s="40">
        <v>3</v>
      </c>
      <c r="P10" s="40">
        <v>3</v>
      </c>
      <c r="Q10" s="40">
        <v>3</v>
      </c>
      <c r="R10" s="40">
        <v>3</v>
      </c>
      <c r="S10" s="41">
        <v>3</v>
      </c>
      <c r="T10" s="92">
        <v>3</v>
      </c>
      <c r="U10" s="39">
        <v>3</v>
      </c>
      <c r="V10" s="40">
        <v>3</v>
      </c>
      <c r="W10" s="40">
        <v>3</v>
      </c>
      <c r="X10" s="40">
        <v>3</v>
      </c>
      <c r="Y10" s="40">
        <v>3</v>
      </c>
      <c r="Z10" s="92">
        <v>3</v>
      </c>
      <c r="AA10" s="39">
        <v>3</v>
      </c>
      <c r="AB10" s="40">
        <v>3</v>
      </c>
      <c r="AC10" s="41">
        <v>3</v>
      </c>
      <c r="AD10" s="92">
        <v>3</v>
      </c>
      <c r="AE10" s="62">
        <f t="shared" si="0"/>
        <v>28</v>
      </c>
      <c r="AF10" s="62">
        <f t="shared" si="1"/>
        <v>0</v>
      </c>
      <c r="AG10" s="68">
        <f t="shared" si="2"/>
        <v>0</v>
      </c>
      <c r="AH10" s="62">
        <f t="shared" si="3"/>
        <v>0</v>
      </c>
      <c r="AI10" s="65" t="str">
        <f t="shared" si="4"/>
        <v>Logrado</v>
      </c>
      <c r="AJ10" s="63" t="str">
        <f t="shared" si="5"/>
        <v>Logrado</v>
      </c>
      <c r="AK10" s="64" t="str">
        <f t="shared" si="6"/>
        <v>Logrado</v>
      </c>
      <c r="AL10" s="63" t="str">
        <f t="shared" si="7"/>
        <v>Logrado</v>
      </c>
      <c r="AM10" s="70" t="str">
        <f t="shared" si="8"/>
        <v>Logrado</v>
      </c>
      <c r="AN10" s="1"/>
      <c r="AO10" s="1"/>
      <c r="AP10" s="1"/>
      <c r="AQ10" s="1"/>
    </row>
    <row r="11" spans="1:43" ht="20.100000000000001" customHeight="1" x14ac:dyDescent="0.3">
      <c r="A11" s="33">
        <v>4</v>
      </c>
      <c r="B11" s="34"/>
      <c r="C11" s="35">
        <v>1</v>
      </c>
      <c r="D11" s="36">
        <v>1</v>
      </c>
      <c r="E11" s="36">
        <v>1</v>
      </c>
      <c r="F11" s="36">
        <v>1</v>
      </c>
      <c r="G11" s="36">
        <v>1</v>
      </c>
      <c r="H11" s="36">
        <v>1</v>
      </c>
      <c r="I11" s="36">
        <v>1</v>
      </c>
      <c r="J11" s="36">
        <v>1</v>
      </c>
      <c r="K11" s="36">
        <v>1</v>
      </c>
      <c r="L11" s="36">
        <v>1</v>
      </c>
      <c r="M11" s="91">
        <v>1</v>
      </c>
      <c r="N11" s="35">
        <v>1</v>
      </c>
      <c r="O11" s="36">
        <v>1</v>
      </c>
      <c r="P11" s="36">
        <v>1</v>
      </c>
      <c r="Q11" s="36">
        <v>1</v>
      </c>
      <c r="R11" s="36">
        <v>1</v>
      </c>
      <c r="S11" s="37">
        <v>1</v>
      </c>
      <c r="T11" s="91">
        <v>1</v>
      </c>
      <c r="U11" s="35">
        <v>1</v>
      </c>
      <c r="V11" s="36">
        <v>1</v>
      </c>
      <c r="W11" s="36">
        <v>1</v>
      </c>
      <c r="X11" s="36">
        <v>1</v>
      </c>
      <c r="Y11" s="36">
        <v>1</v>
      </c>
      <c r="Z11" s="91">
        <v>1</v>
      </c>
      <c r="AA11" s="35">
        <v>1</v>
      </c>
      <c r="AB11" s="36">
        <v>1</v>
      </c>
      <c r="AC11" s="37">
        <v>1</v>
      </c>
      <c r="AD11" s="91">
        <v>1</v>
      </c>
      <c r="AE11" s="66">
        <f t="shared" si="0"/>
        <v>0</v>
      </c>
      <c r="AF11" s="66">
        <f t="shared" si="1"/>
        <v>0</v>
      </c>
      <c r="AG11" s="67">
        <f t="shared" si="2"/>
        <v>28</v>
      </c>
      <c r="AH11" s="66">
        <f t="shared" si="3"/>
        <v>0</v>
      </c>
      <c r="AI11" s="65" t="str">
        <f t="shared" si="4"/>
        <v>Previo al Inicio</v>
      </c>
      <c r="AJ11" s="63" t="str">
        <f t="shared" si="5"/>
        <v>Previo al Inicio</v>
      </c>
      <c r="AK11" s="64" t="str">
        <f t="shared" si="6"/>
        <v>Previo al Inicio</v>
      </c>
      <c r="AL11" s="63" t="str">
        <f t="shared" si="7"/>
        <v>Previo al Inicio</v>
      </c>
      <c r="AM11" s="70" t="str">
        <f t="shared" si="8"/>
        <v>Previo al Inicio</v>
      </c>
      <c r="AN11" s="1"/>
      <c r="AO11" s="1"/>
      <c r="AP11" s="1"/>
      <c r="AQ11" s="1"/>
    </row>
    <row r="12" spans="1:43" ht="20.100000000000001" customHeight="1" x14ac:dyDescent="0.3">
      <c r="A12" s="27">
        <v>5</v>
      </c>
      <c r="B12" s="38"/>
      <c r="C12" s="39">
        <v>3</v>
      </c>
      <c r="D12" s="40">
        <v>3</v>
      </c>
      <c r="E12" s="40">
        <v>3</v>
      </c>
      <c r="F12" s="40">
        <v>3</v>
      </c>
      <c r="G12" s="40">
        <v>3</v>
      </c>
      <c r="H12" s="40">
        <v>3</v>
      </c>
      <c r="I12" s="40">
        <v>3</v>
      </c>
      <c r="J12" s="40">
        <v>3</v>
      </c>
      <c r="K12" s="40">
        <v>3</v>
      </c>
      <c r="L12" s="40">
        <v>3</v>
      </c>
      <c r="M12" s="92">
        <v>3</v>
      </c>
      <c r="N12" s="39">
        <v>3</v>
      </c>
      <c r="O12" s="40">
        <v>3</v>
      </c>
      <c r="P12" s="40">
        <v>3</v>
      </c>
      <c r="Q12" s="40">
        <v>3</v>
      </c>
      <c r="R12" s="40">
        <v>3</v>
      </c>
      <c r="S12" s="41">
        <v>3</v>
      </c>
      <c r="T12" s="92">
        <v>3</v>
      </c>
      <c r="U12" s="39">
        <v>3</v>
      </c>
      <c r="V12" s="40">
        <v>3</v>
      </c>
      <c r="W12" s="40">
        <v>3</v>
      </c>
      <c r="X12" s="40">
        <v>3</v>
      </c>
      <c r="Y12" s="40">
        <v>3</v>
      </c>
      <c r="Z12" s="92">
        <v>3</v>
      </c>
      <c r="AA12" s="39">
        <v>3</v>
      </c>
      <c r="AB12" s="40">
        <v>3</v>
      </c>
      <c r="AC12" s="41">
        <v>3</v>
      </c>
      <c r="AD12" s="92">
        <v>3</v>
      </c>
      <c r="AE12" s="62">
        <f t="shared" si="0"/>
        <v>28</v>
      </c>
      <c r="AF12" s="62">
        <f t="shared" si="1"/>
        <v>0</v>
      </c>
      <c r="AG12" s="68">
        <f t="shared" si="2"/>
        <v>0</v>
      </c>
      <c r="AH12" s="62">
        <f t="shared" si="3"/>
        <v>0</v>
      </c>
      <c r="AI12" s="65" t="str">
        <f t="shared" si="4"/>
        <v>Logrado</v>
      </c>
      <c r="AJ12" s="63" t="str">
        <f t="shared" si="5"/>
        <v>Logrado</v>
      </c>
      <c r="AK12" s="64" t="str">
        <f t="shared" si="6"/>
        <v>Logrado</v>
      </c>
      <c r="AL12" s="63" t="str">
        <f t="shared" si="7"/>
        <v>Logrado</v>
      </c>
      <c r="AM12" s="70" t="str">
        <f t="shared" si="8"/>
        <v>Logrado</v>
      </c>
      <c r="AN12" s="1"/>
      <c r="AO12" s="1"/>
      <c r="AP12" s="1"/>
      <c r="AQ12" s="1"/>
    </row>
    <row r="13" spans="1:43" ht="20.100000000000001" customHeight="1" x14ac:dyDescent="0.3">
      <c r="A13" s="33">
        <v>6</v>
      </c>
      <c r="B13" s="34" t="s">
        <v>81</v>
      </c>
      <c r="C13" s="35">
        <v>3</v>
      </c>
      <c r="D13" s="36">
        <v>3</v>
      </c>
      <c r="E13" s="36">
        <v>3</v>
      </c>
      <c r="F13" s="36">
        <v>3</v>
      </c>
      <c r="G13" s="36">
        <v>3</v>
      </c>
      <c r="H13" s="36">
        <v>3</v>
      </c>
      <c r="I13" s="36">
        <v>3</v>
      </c>
      <c r="J13" s="36">
        <v>3</v>
      </c>
      <c r="K13" s="36">
        <v>3</v>
      </c>
      <c r="L13" s="36">
        <v>3</v>
      </c>
      <c r="M13" s="91">
        <v>3</v>
      </c>
      <c r="N13" s="35">
        <v>3</v>
      </c>
      <c r="O13" s="36">
        <v>3</v>
      </c>
      <c r="P13" s="36">
        <v>3</v>
      </c>
      <c r="Q13" s="36">
        <v>3</v>
      </c>
      <c r="R13" s="36">
        <v>3</v>
      </c>
      <c r="S13" s="37">
        <v>3</v>
      </c>
      <c r="T13" s="91">
        <v>3</v>
      </c>
      <c r="U13" s="35">
        <v>3</v>
      </c>
      <c r="V13" s="36">
        <v>3</v>
      </c>
      <c r="W13" s="36">
        <v>3</v>
      </c>
      <c r="X13" s="36">
        <v>3</v>
      </c>
      <c r="Y13" s="36">
        <v>3</v>
      </c>
      <c r="Z13" s="91">
        <v>3</v>
      </c>
      <c r="AA13" s="35">
        <v>3</v>
      </c>
      <c r="AB13" s="36">
        <v>3</v>
      </c>
      <c r="AC13" s="37">
        <v>3</v>
      </c>
      <c r="AD13" s="91">
        <v>3</v>
      </c>
      <c r="AE13" s="66">
        <f t="shared" si="0"/>
        <v>28</v>
      </c>
      <c r="AF13" s="66">
        <f t="shared" si="1"/>
        <v>0</v>
      </c>
      <c r="AG13" s="67">
        <f t="shared" si="2"/>
        <v>0</v>
      </c>
      <c r="AH13" s="66">
        <f t="shared" si="3"/>
        <v>0</v>
      </c>
      <c r="AI13" s="65" t="str">
        <f t="shared" si="4"/>
        <v>Logrado</v>
      </c>
      <c r="AJ13" s="63" t="str">
        <f t="shared" si="5"/>
        <v>Logrado</v>
      </c>
      <c r="AK13" s="64" t="str">
        <f t="shared" si="6"/>
        <v>Logrado</v>
      </c>
      <c r="AL13" s="63" t="str">
        <f t="shared" si="7"/>
        <v>Logrado</v>
      </c>
      <c r="AM13" s="70" t="str">
        <f t="shared" si="8"/>
        <v>Logrado</v>
      </c>
      <c r="AN13" s="1"/>
      <c r="AO13" s="1"/>
      <c r="AP13" s="1"/>
      <c r="AQ13" s="1"/>
    </row>
    <row r="14" spans="1:43" ht="20.100000000000001" customHeight="1" x14ac:dyDescent="0.3">
      <c r="A14" s="27">
        <v>7</v>
      </c>
      <c r="B14" s="38"/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92"/>
      <c r="N14" s="39"/>
      <c r="O14" s="40"/>
      <c r="P14" s="40"/>
      <c r="Q14" s="40"/>
      <c r="R14" s="40"/>
      <c r="S14" s="41"/>
      <c r="T14" s="92"/>
      <c r="U14" s="39"/>
      <c r="V14" s="40"/>
      <c r="W14" s="40"/>
      <c r="X14" s="40"/>
      <c r="Y14" s="40"/>
      <c r="Z14" s="92"/>
      <c r="AA14" s="39"/>
      <c r="AB14" s="40"/>
      <c r="AC14" s="41"/>
      <c r="AD14" s="92"/>
      <c r="AE14" s="62">
        <f t="shared" si="0"/>
        <v>0</v>
      </c>
      <c r="AF14" s="62">
        <f t="shared" si="1"/>
        <v>0</v>
      </c>
      <c r="AG14" s="68">
        <f t="shared" si="2"/>
        <v>0</v>
      </c>
      <c r="AH14" s="62">
        <f t="shared" si="3"/>
        <v>0</v>
      </c>
      <c r="AI14" s="65" t="str">
        <f t="shared" si="4"/>
        <v/>
      </c>
      <c r="AJ14" s="63" t="str">
        <f t="shared" si="5"/>
        <v/>
      </c>
      <c r="AK14" s="64" t="str">
        <f t="shared" si="6"/>
        <v/>
      </c>
      <c r="AL14" s="63" t="str">
        <f t="shared" si="7"/>
        <v/>
      </c>
      <c r="AM14" s="70" t="str">
        <f t="shared" si="8"/>
        <v/>
      </c>
      <c r="AN14" s="1"/>
      <c r="AO14" s="1"/>
      <c r="AP14" s="1"/>
      <c r="AQ14" s="1"/>
    </row>
    <row r="15" spans="1:43" ht="20.100000000000001" customHeight="1" x14ac:dyDescent="0.3">
      <c r="A15" s="33">
        <v>8</v>
      </c>
      <c r="B15" s="34"/>
      <c r="C15" s="35"/>
      <c r="D15" s="36"/>
      <c r="E15" s="36"/>
      <c r="F15" s="36"/>
      <c r="G15" s="36"/>
      <c r="H15" s="36"/>
      <c r="I15" s="36"/>
      <c r="J15" s="36"/>
      <c r="K15" s="36"/>
      <c r="L15" s="36"/>
      <c r="M15" s="91"/>
      <c r="N15" s="35"/>
      <c r="O15" s="36"/>
      <c r="P15" s="36"/>
      <c r="Q15" s="36"/>
      <c r="R15" s="36"/>
      <c r="S15" s="37"/>
      <c r="T15" s="91"/>
      <c r="U15" s="35"/>
      <c r="V15" s="36"/>
      <c r="W15" s="36"/>
      <c r="X15" s="36"/>
      <c r="Y15" s="36"/>
      <c r="Z15" s="91"/>
      <c r="AA15" s="35"/>
      <c r="AB15" s="36"/>
      <c r="AC15" s="37"/>
      <c r="AD15" s="91"/>
      <c r="AE15" s="66">
        <f t="shared" si="0"/>
        <v>0</v>
      </c>
      <c r="AF15" s="66">
        <f t="shared" si="1"/>
        <v>0</v>
      </c>
      <c r="AG15" s="67">
        <f t="shared" si="2"/>
        <v>0</v>
      </c>
      <c r="AH15" s="66">
        <f t="shared" si="3"/>
        <v>0</v>
      </c>
      <c r="AI15" s="65" t="str">
        <f t="shared" si="4"/>
        <v/>
      </c>
      <c r="AJ15" s="63" t="str">
        <f t="shared" si="5"/>
        <v/>
      </c>
      <c r="AK15" s="64" t="str">
        <f t="shared" si="6"/>
        <v/>
      </c>
      <c r="AL15" s="63" t="str">
        <f t="shared" si="7"/>
        <v/>
      </c>
      <c r="AM15" s="70" t="str">
        <f t="shared" si="8"/>
        <v/>
      </c>
      <c r="AN15" s="1"/>
      <c r="AO15" s="1"/>
      <c r="AP15" s="1"/>
      <c r="AQ15" s="1"/>
    </row>
    <row r="16" spans="1:43" ht="20.100000000000001" customHeight="1" x14ac:dyDescent="0.3">
      <c r="A16" s="27">
        <v>9</v>
      </c>
      <c r="B16" s="38"/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92"/>
      <c r="N16" s="39"/>
      <c r="O16" s="40"/>
      <c r="P16" s="40"/>
      <c r="Q16" s="40"/>
      <c r="R16" s="40"/>
      <c r="S16" s="41"/>
      <c r="T16" s="92"/>
      <c r="U16" s="39"/>
      <c r="V16" s="40"/>
      <c r="W16" s="40"/>
      <c r="X16" s="40"/>
      <c r="Y16" s="40"/>
      <c r="Z16" s="92"/>
      <c r="AA16" s="39"/>
      <c r="AB16" s="40"/>
      <c r="AC16" s="41"/>
      <c r="AD16" s="92"/>
      <c r="AE16" s="62">
        <f t="shared" si="0"/>
        <v>0</v>
      </c>
      <c r="AF16" s="62">
        <f t="shared" si="1"/>
        <v>0</v>
      </c>
      <c r="AG16" s="68">
        <f t="shared" si="2"/>
        <v>0</v>
      </c>
      <c r="AH16" s="62">
        <f t="shared" si="3"/>
        <v>0</v>
      </c>
      <c r="AI16" s="65" t="str">
        <f t="shared" si="4"/>
        <v/>
      </c>
      <c r="AJ16" s="63" t="str">
        <f t="shared" si="5"/>
        <v/>
      </c>
      <c r="AK16" s="64" t="str">
        <f t="shared" si="6"/>
        <v/>
      </c>
      <c r="AL16" s="63" t="str">
        <f t="shared" si="7"/>
        <v/>
      </c>
      <c r="AM16" s="70" t="str">
        <f t="shared" si="8"/>
        <v/>
      </c>
      <c r="AN16" s="1"/>
      <c r="AO16" s="1"/>
      <c r="AP16" s="1"/>
      <c r="AQ16" s="1"/>
    </row>
    <row r="17" spans="1:43" ht="20.100000000000001" customHeight="1" x14ac:dyDescent="0.3">
      <c r="A17" s="33">
        <v>10</v>
      </c>
      <c r="B17" s="34"/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91"/>
      <c r="N17" s="35"/>
      <c r="O17" s="36"/>
      <c r="P17" s="36"/>
      <c r="Q17" s="36"/>
      <c r="R17" s="36"/>
      <c r="S17" s="37"/>
      <c r="T17" s="91"/>
      <c r="U17" s="35"/>
      <c r="V17" s="36"/>
      <c r="W17" s="36"/>
      <c r="X17" s="36"/>
      <c r="Y17" s="36"/>
      <c r="Z17" s="91"/>
      <c r="AA17" s="35"/>
      <c r="AB17" s="36"/>
      <c r="AC17" s="37"/>
      <c r="AD17" s="91"/>
      <c r="AE17" s="66">
        <f t="shared" si="0"/>
        <v>0</v>
      </c>
      <c r="AF17" s="66">
        <f t="shared" si="1"/>
        <v>0</v>
      </c>
      <c r="AG17" s="67">
        <f t="shared" si="2"/>
        <v>0</v>
      </c>
      <c r="AH17" s="66">
        <f t="shared" si="3"/>
        <v>0</v>
      </c>
      <c r="AI17" s="65" t="str">
        <f t="shared" si="4"/>
        <v/>
      </c>
      <c r="AJ17" s="63" t="str">
        <f t="shared" si="5"/>
        <v/>
      </c>
      <c r="AK17" s="64" t="str">
        <f t="shared" si="6"/>
        <v/>
      </c>
      <c r="AL17" s="63" t="str">
        <f t="shared" si="7"/>
        <v/>
      </c>
      <c r="AM17" s="70" t="str">
        <f t="shared" si="8"/>
        <v/>
      </c>
      <c r="AN17" s="1"/>
      <c r="AO17" s="1"/>
      <c r="AP17" s="1"/>
      <c r="AQ17" s="1"/>
    </row>
    <row r="18" spans="1:43" ht="20.100000000000001" customHeight="1" x14ac:dyDescent="0.3">
      <c r="A18" s="27">
        <v>11</v>
      </c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40"/>
      <c r="M18" s="92"/>
      <c r="N18" s="39"/>
      <c r="O18" s="40"/>
      <c r="P18" s="40"/>
      <c r="Q18" s="40"/>
      <c r="R18" s="40"/>
      <c r="S18" s="41"/>
      <c r="T18" s="92"/>
      <c r="U18" s="39"/>
      <c r="V18" s="40"/>
      <c r="W18" s="40"/>
      <c r="X18" s="40"/>
      <c r="Y18" s="40"/>
      <c r="Z18" s="92"/>
      <c r="AA18" s="39"/>
      <c r="AB18" s="40"/>
      <c r="AC18" s="41"/>
      <c r="AD18" s="92"/>
      <c r="AE18" s="62">
        <f t="shared" si="0"/>
        <v>0</v>
      </c>
      <c r="AF18" s="62">
        <f t="shared" si="1"/>
        <v>0</v>
      </c>
      <c r="AG18" s="68">
        <f t="shared" si="2"/>
        <v>0</v>
      </c>
      <c r="AH18" s="62">
        <f t="shared" si="3"/>
        <v>0</v>
      </c>
      <c r="AI18" s="65" t="str">
        <f t="shared" si="4"/>
        <v/>
      </c>
      <c r="AJ18" s="63" t="str">
        <f t="shared" si="5"/>
        <v/>
      </c>
      <c r="AK18" s="64" t="str">
        <f t="shared" si="6"/>
        <v/>
      </c>
      <c r="AL18" s="63" t="str">
        <f t="shared" si="7"/>
        <v/>
      </c>
      <c r="AM18" s="70" t="str">
        <f t="shared" si="8"/>
        <v/>
      </c>
      <c r="AN18" s="1"/>
      <c r="AO18" s="1"/>
      <c r="AP18" s="1"/>
      <c r="AQ18" s="1"/>
    </row>
    <row r="19" spans="1:43" ht="20.100000000000001" customHeight="1" x14ac:dyDescent="0.3">
      <c r="A19" s="33">
        <v>12</v>
      </c>
      <c r="B19" s="34"/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91"/>
      <c r="N19" s="35"/>
      <c r="O19" s="36"/>
      <c r="P19" s="36"/>
      <c r="Q19" s="36"/>
      <c r="R19" s="36"/>
      <c r="S19" s="37"/>
      <c r="T19" s="91"/>
      <c r="U19" s="35"/>
      <c r="V19" s="36"/>
      <c r="W19" s="36"/>
      <c r="X19" s="36"/>
      <c r="Y19" s="36"/>
      <c r="Z19" s="91"/>
      <c r="AA19" s="35"/>
      <c r="AB19" s="36"/>
      <c r="AC19" s="37"/>
      <c r="AD19" s="91"/>
      <c r="AE19" s="66">
        <f t="shared" si="0"/>
        <v>0</v>
      </c>
      <c r="AF19" s="66">
        <f t="shared" si="1"/>
        <v>0</v>
      </c>
      <c r="AG19" s="67">
        <f t="shared" si="2"/>
        <v>0</v>
      </c>
      <c r="AH19" s="66">
        <f t="shared" si="3"/>
        <v>0</v>
      </c>
      <c r="AI19" s="65" t="str">
        <f t="shared" si="4"/>
        <v/>
      </c>
      <c r="AJ19" s="63" t="str">
        <f t="shared" si="5"/>
        <v/>
      </c>
      <c r="AK19" s="64" t="str">
        <f t="shared" si="6"/>
        <v/>
      </c>
      <c r="AL19" s="63" t="str">
        <f t="shared" si="7"/>
        <v/>
      </c>
      <c r="AM19" s="70" t="str">
        <f t="shared" si="8"/>
        <v/>
      </c>
      <c r="AN19" s="1"/>
      <c r="AO19" s="1"/>
      <c r="AP19" s="1"/>
      <c r="AQ19" s="1"/>
    </row>
    <row r="20" spans="1:43" ht="20.100000000000001" customHeight="1" x14ac:dyDescent="0.3">
      <c r="A20" s="27">
        <v>13</v>
      </c>
      <c r="B20" s="38"/>
      <c r="C20" s="39"/>
      <c r="D20" s="40"/>
      <c r="E20" s="40"/>
      <c r="F20" s="40"/>
      <c r="G20" s="40"/>
      <c r="H20" s="40"/>
      <c r="I20" s="40"/>
      <c r="J20" s="40"/>
      <c r="K20" s="40"/>
      <c r="L20" s="40"/>
      <c r="M20" s="92"/>
      <c r="N20" s="39"/>
      <c r="O20" s="40"/>
      <c r="P20" s="40"/>
      <c r="Q20" s="40"/>
      <c r="R20" s="40"/>
      <c r="S20" s="41"/>
      <c r="T20" s="92"/>
      <c r="U20" s="39"/>
      <c r="V20" s="40"/>
      <c r="W20" s="40"/>
      <c r="X20" s="40"/>
      <c r="Y20" s="40"/>
      <c r="Z20" s="92"/>
      <c r="AA20" s="39"/>
      <c r="AB20" s="40"/>
      <c r="AC20" s="41"/>
      <c r="AD20" s="92"/>
      <c r="AE20" s="62">
        <f t="shared" si="0"/>
        <v>0</v>
      </c>
      <c r="AF20" s="62">
        <f t="shared" si="1"/>
        <v>0</v>
      </c>
      <c r="AG20" s="68">
        <f t="shared" si="2"/>
        <v>0</v>
      </c>
      <c r="AH20" s="62">
        <f t="shared" si="3"/>
        <v>0</v>
      </c>
      <c r="AI20" s="65" t="str">
        <f t="shared" si="4"/>
        <v/>
      </c>
      <c r="AJ20" s="63" t="str">
        <f t="shared" si="5"/>
        <v/>
      </c>
      <c r="AK20" s="64" t="str">
        <f t="shared" si="6"/>
        <v/>
      </c>
      <c r="AL20" s="63" t="str">
        <f t="shared" si="7"/>
        <v/>
      </c>
      <c r="AM20" s="70" t="str">
        <f t="shared" si="8"/>
        <v/>
      </c>
      <c r="AN20" s="1"/>
      <c r="AO20" s="1"/>
      <c r="AP20" s="1"/>
      <c r="AQ20" s="1"/>
    </row>
    <row r="21" spans="1:43" ht="20.100000000000001" customHeight="1" x14ac:dyDescent="0.3">
      <c r="A21" s="33">
        <v>14</v>
      </c>
      <c r="B21" s="34"/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91"/>
      <c r="N21" s="35"/>
      <c r="O21" s="36"/>
      <c r="P21" s="36"/>
      <c r="Q21" s="36"/>
      <c r="R21" s="36"/>
      <c r="S21" s="37"/>
      <c r="T21" s="91"/>
      <c r="U21" s="35"/>
      <c r="V21" s="36"/>
      <c r="W21" s="36"/>
      <c r="X21" s="36"/>
      <c r="Y21" s="36"/>
      <c r="Z21" s="91"/>
      <c r="AA21" s="35"/>
      <c r="AB21" s="36"/>
      <c r="AC21" s="37"/>
      <c r="AD21" s="91"/>
      <c r="AE21" s="66">
        <f t="shared" si="0"/>
        <v>0</v>
      </c>
      <c r="AF21" s="66">
        <f t="shared" si="1"/>
        <v>0</v>
      </c>
      <c r="AG21" s="67">
        <f t="shared" si="2"/>
        <v>0</v>
      </c>
      <c r="AH21" s="66">
        <f t="shared" si="3"/>
        <v>0</v>
      </c>
      <c r="AI21" s="65" t="str">
        <f t="shared" si="4"/>
        <v/>
      </c>
      <c r="AJ21" s="63" t="str">
        <f t="shared" si="5"/>
        <v/>
      </c>
      <c r="AK21" s="64" t="str">
        <f t="shared" si="6"/>
        <v/>
      </c>
      <c r="AL21" s="63" t="str">
        <f t="shared" si="7"/>
        <v/>
      </c>
      <c r="AM21" s="70" t="str">
        <f t="shared" si="8"/>
        <v/>
      </c>
      <c r="AN21" s="1"/>
      <c r="AO21" s="1"/>
      <c r="AP21" s="1"/>
      <c r="AQ21" s="1"/>
    </row>
    <row r="22" spans="1:43" ht="20.100000000000001" customHeight="1" x14ac:dyDescent="0.3">
      <c r="A22" s="27">
        <v>15</v>
      </c>
      <c r="B22" s="38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92"/>
      <c r="N22" s="39"/>
      <c r="O22" s="40"/>
      <c r="P22" s="40"/>
      <c r="Q22" s="40"/>
      <c r="R22" s="40"/>
      <c r="S22" s="41"/>
      <c r="T22" s="92"/>
      <c r="U22" s="39"/>
      <c r="V22" s="40"/>
      <c r="W22" s="40"/>
      <c r="X22" s="40"/>
      <c r="Y22" s="40"/>
      <c r="Z22" s="92"/>
      <c r="AA22" s="39"/>
      <c r="AB22" s="40"/>
      <c r="AC22" s="41"/>
      <c r="AD22" s="92"/>
      <c r="AE22" s="62">
        <f t="shared" si="0"/>
        <v>0</v>
      </c>
      <c r="AF22" s="62">
        <f t="shared" si="1"/>
        <v>0</v>
      </c>
      <c r="AG22" s="68">
        <f t="shared" si="2"/>
        <v>0</v>
      </c>
      <c r="AH22" s="62">
        <f t="shared" si="3"/>
        <v>0</v>
      </c>
      <c r="AI22" s="65" t="str">
        <f t="shared" si="4"/>
        <v/>
      </c>
      <c r="AJ22" s="63" t="str">
        <f t="shared" si="5"/>
        <v/>
      </c>
      <c r="AK22" s="64" t="str">
        <f t="shared" si="6"/>
        <v/>
      </c>
      <c r="AL22" s="63" t="str">
        <f t="shared" si="7"/>
        <v/>
      </c>
      <c r="AM22" s="70" t="str">
        <f t="shared" si="8"/>
        <v/>
      </c>
      <c r="AN22" s="1"/>
      <c r="AO22" s="1"/>
      <c r="AP22" s="1"/>
      <c r="AQ22" s="1"/>
    </row>
    <row r="23" spans="1:43" ht="20.100000000000001" customHeight="1" x14ac:dyDescent="0.3">
      <c r="A23" s="33">
        <v>16</v>
      </c>
      <c r="B23" s="34"/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91"/>
      <c r="N23" s="35"/>
      <c r="O23" s="36"/>
      <c r="P23" s="36"/>
      <c r="Q23" s="36"/>
      <c r="R23" s="36"/>
      <c r="S23" s="37"/>
      <c r="T23" s="91"/>
      <c r="U23" s="35"/>
      <c r="V23" s="36"/>
      <c r="W23" s="36"/>
      <c r="X23" s="36"/>
      <c r="Y23" s="36"/>
      <c r="Z23" s="91"/>
      <c r="AA23" s="35"/>
      <c r="AB23" s="36"/>
      <c r="AC23" s="37"/>
      <c r="AD23" s="91"/>
      <c r="AE23" s="66">
        <f t="shared" si="0"/>
        <v>0</v>
      </c>
      <c r="AF23" s="66">
        <f t="shared" si="1"/>
        <v>0</v>
      </c>
      <c r="AG23" s="67">
        <f t="shared" si="2"/>
        <v>0</v>
      </c>
      <c r="AH23" s="66">
        <f t="shared" si="3"/>
        <v>0</v>
      </c>
      <c r="AI23" s="65" t="str">
        <f t="shared" si="4"/>
        <v/>
      </c>
      <c r="AJ23" s="63" t="str">
        <f t="shared" si="5"/>
        <v/>
      </c>
      <c r="AK23" s="64" t="str">
        <f t="shared" si="6"/>
        <v/>
      </c>
      <c r="AL23" s="63" t="str">
        <f t="shared" si="7"/>
        <v/>
      </c>
      <c r="AM23" s="70" t="str">
        <f t="shared" si="8"/>
        <v/>
      </c>
      <c r="AN23" s="1"/>
      <c r="AO23" s="1"/>
      <c r="AP23" s="1"/>
      <c r="AQ23" s="1" t="s">
        <v>30</v>
      </c>
    </row>
    <row r="24" spans="1:43" ht="20.100000000000001" customHeight="1" x14ac:dyDescent="0.3">
      <c r="A24" s="27">
        <v>17</v>
      </c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92"/>
      <c r="N24" s="39"/>
      <c r="O24" s="40"/>
      <c r="P24" s="40"/>
      <c r="Q24" s="40"/>
      <c r="R24" s="40"/>
      <c r="S24" s="41"/>
      <c r="T24" s="92"/>
      <c r="U24" s="39"/>
      <c r="V24" s="40"/>
      <c r="W24" s="40"/>
      <c r="X24" s="40"/>
      <c r="Y24" s="40"/>
      <c r="Z24" s="92"/>
      <c r="AA24" s="39"/>
      <c r="AB24" s="40"/>
      <c r="AC24" s="41"/>
      <c r="AD24" s="92"/>
      <c r="AE24" s="62">
        <f t="shared" si="0"/>
        <v>0</v>
      </c>
      <c r="AF24" s="62">
        <f t="shared" si="1"/>
        <v>0</v>
      </c>
      <c r="AG24" s="68">
        <f t="shared" si="2"/>
        <v>0</v>
      </c>
      <c r="AH24" s="62">
        <f t="shared" si="3"/>
        <v>0</v>
      </c>
      <c r="AI24" s="65" t="str">
        <f t="shared" si="4"/>
        <v/>
      </c>
      <c r="AJ24" s="63" t="str">
        <f t="shared" si="5"/>
        <v/>
      </c>
      <c r="AK24" s="64" t="str">
        <f t="shared" si="6"/>
        <v/>
      </c>
      <c r="AL24" s="63" t="str">
        <f t="shared" si="7"/>
        <v/>
      </c>
      <c r="AM24" s="70" t="str">
        <f t="shared" si="8"/>
        <v/>
      </c>
      <c r="AN24" s="1"/>
      <c r="AO24" s="1"/>
      <c r="AP24" s="1"/>
      <c r="AQ24" s="1"/>
    </row>
    <row r="25" spans="1:43" ht="20.100000000000001" customHeight="1" x14ac:dyDescent="0.3">
      <c r="A25" s="33">
        <v>18</v>
      </c>
      <c r="B25" s="34"/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91"/>
      <c r="N25" s="35"/>
      <c r="O25" s="36"/>
      <c r="P25" s="36"/>
      <c r="Q25" s="36"/>
      <c r="R25" s="36"/>
      <c r="S25" s="37"/>
      <c r="T25" s="91"/>
      <c r="U25" s="35"/>
      <c r="V25" s="36"/>
      <c r="W25" s="36"/>
      <c r="X25" s="36"/>
      <c r="Y25" s="36"/>
      <c r="Z25" s="91"/>
      <c r="AA25" s="35"/>
      <c r="AB25" s="36"/>
      <c r="AC25" s="37"/>
      <c r="AD25" s="91"/>
      <c r="AE25" s="66">
        <f t="shared" si="0"/>
        <v>0</v>
      </c>
      <c r="AF25" s="66">
        <f t="shared" si="1"/>
        <v>0</v>
      </c>
      <c r="AG25" s="67">
        <f t="shared" si="2"/>
        <v>0</v>
      </c>
      <c r="AH25" s="66">
        <f t="shared" si="3"/>
        <v>0</v>
      </c>
      <c r="AI25" s="65" t="str">
        <f t="shared" si="4"/>
        <v/>
      </c>
      <c r="AJ25" s="63" t="str">
        <f t="shared" si="5"/>
        <v/>
      </c>
      <c r="AK25" s="64" t="str">
        <f t="shared" si="6"/>
        <v/>
      </c>
      <c r="AL25" s="63" t="str">
        <f t="shared" si="7"/>
        <v/>
      </c>
      <c r="AM25" s="70" t="str">
        <f t="shared" si="8"/>
        <v/>
      </c>
      <c r="AN25" s="1"/>
      <c r="AO25" s="1"/>
      <c r="AP25" s="1"/>
      <c r="AQ25" s="1"/>
    </row>
    <row r="26" spans="1:43" ht="20.100000000000001" customHeight="1" x14ac:dyDescent="0.3">
      <c r="A26" s="27">
        <v>19</v>
      </c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40"/>
      <c r="M26" s="92"/>
      <c r="N26" s="39"/>
      <c r="O26" s="40"/>
      <c r="P26" s="40"/>
      <c r="Q26" s="40"/>
      <c r="R26" s="40"/>
      <c r="S26" s="41"/>
      <c r="T26" s="92"/>
      <c r="U26" s="39"/>
      <c r="V26" s="40"/>
      <c r="W26" s="40"/>
      <c r="X26" s="40"/>
      <c r="Y26" s="40"/>
      <c r="Z26" s="92"/>
      <c r="AA26" s="39"/>
      <c r="AB26" s="40"/>
      <c r="AC26" s="41"/>
      <c r="AD26" s="92"/>
      <c r="AE26" s="62">
        <f t="shared" si="0"/>
        <v>0</v>
      </c>
      <c r="AF26" s="62">
        <f t="shared" si="1"/>
        <v>0</v>
      </c>
      <c r="AG26" s="68">
        <f t="shared" si="2"/>
        <v>0</v>
      </c>
      <c r="AH26" s="62">
        <f t="shared" si="3"/>
        <v>0</v>
      </c>
      <c r="AI26" s="65" t="str">
        <f t="shared" si="4"/>
        <v/>
      </c>
      <c r="AJ26" s="63" t="str">
        <f t="shared" si="5"/>
        <v/>
      </c>
      <c r="AK26" s="64" t="str">
        <f t="shared" si="6"/>
        <v/>
      </c>
      <c r="AL26" s="63" t="str">
        <f t="shared" si="7"/>
        <v/>
      </c>
      <c r="AM26" s="70" t="str">
        <f t="shared" si="8"/>
        <v/>
      </c>
      <c r="AN26" s="1"/>
      <c r="AO26" s="1"/>
      <c r="AP26" s="1"/>
      <c r="AQ26" s="1"/>
    </row>
    <row r="27" spans="1:43" ht="20.100000000000001" customHeight="1" x14ac:dyDescent="0.3">
      <c r="A27" s="33">
        <v>20</v>
      </c>
      <c r="B27" s="34"/>
      <c r="C27" s="35"/>
      <c r="D27" s="36"/>
      <c r="E27" s="36"/>
      <c r="F27" s="36"/>
      <c r="G27" s="36"/>
      <c r="H27" s="36"/>
      <c r="I27" s="36"/>
      <c r="J27" s="36"/>
      <c r="K27" s="36"/>
      <c r="L27" s="36"/>
      <c r="M27" s="91"/>
      <c r="N27" s="35"/>
      <c r="O27" s="36"/>
      <c r="P27" s="36"/>
      <c r="Q27" s="36"/>
      <c r="R27" s="36"/>
      <c r="S27" s="37"/>
      <c r="T27" s="91"/>
      <c r="U27" s="35"/>
      <c r="V27" s="36"/>
      <c r="W27" s="36"/>
      <c r="X27" s="36"/>
      <c r="Y27" s="36"/>
      <c r="Z27" s="91"/>
      <c r="AA27" s="35"/>
      <c r="AB27" s="36"/>
      <c r="AC27" s="37"/>
      <c r="AD27" s="91"/>
      <c r="AE27" s="66">
        <f t="shared" si="0"/>
        <v>0</v>
      </c>
      <c r="AF27" s="66">
        <f t="shared" si="1"/>
        <v>0</v>
      </c>
      <c r="AG27" s="67">
        <f t="shared" si="2"/>
        <v>0</v>
      </c>
      <c r="AH27" s="66">
        <f t="shared" si="3"/>
        <v>0</v>
      </c>
      <c r="AI27" s="65" t="str">
        <f t="shared" si="4"/>
        <v/>
      </c>
      <c r="AJ27" s="63" t="str">
        <f t="shared" si="5"/>
        <v/>
      </c>
      <c r="AK27" s="64" t="str">
        <f t="shared" si="6"/>
        <v/>
      </c>
      <c r="AL27" s="63" t="str">
        <f t="shared" si="7"/>
        <v/>
      </c>
      <c r="AM27" s="70" t="str">
        <f t="shared" si="8"/>
        <v/>
      </c>
      <c r="AN27" s="1"/>
      <c r="AO27" s="1"/>
      <c r="AP27" s="1"/>
      <c r="AQ27" s="1"/>
    </row>
    <row r="28" spans="1:43" ht="20.100000000000001" customHeight="1" x14ac:dyDescent="0.3">
      <c r="A28" s="27">
        <v>21</v>
      </c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40"/>
      <c r="M28" s="92"/>
      <c r="N28" s="39"/>
      <c r="O28" s="40"/>
      <c r="P28" s="40"/>
      <c r="Q28" s="40"/>
      <c r="R28" s="40"/>
      <c r="S28" s="41"/>
      <c r="T28" s="92"/>
      <c r="U28" s="39"/>
      <c r="V28" s="40"/>
      <c r="W28" s="40"/>
      <c r="X28" s="40"/>
      <c r="Y28" s="40"/>
      <c r="Z28" s="92"/>
      <c r="AA28" s="39"/>
      <c r="AB28" s="40"/>
      <c r="AC28" s="41"/>
      <c r="AD28" s="92"/>
      <c r="AE28" s="62">
        <f t="shared" si="0"/>
        <v>0</v>
      </c>
      <c r="AF28" s="62">
        <f t="shared" si="1"/>
        <v>0</v>
      </c>
      <c r="AG28" s="68">
        <f t="shared" si="2"/>
        <v>0</v>
      </c>
      <c r="AH28" s="62">
        <f t="shared" si="3"/>
        <v>0</v>
      </c>
      <c r="AI28" s="65" t="str">
        <f t="shared" si="4"/>
        <v/>
      </c>
      <c r="AJ28" s="63" t="str">
        <f t="shared" si="5"/>
        <v/>
      </c>
      <c r="AK28" s="64" t="str">
        <f t="shared" si="6"/>
        <v/>
      </c>
      <c r="AL28" s="63" t="str">
        <f t="shared" si="7"/>
        <v/>
      </c>
      <c r="AM28" s="70" t="str">
        <f t="shared" si="8"/>
        <v/>
      </c>
      <c r="AN28" s="1"/>
      <c r="AO28" s="1"/>
      <c r="AP28" s="1"/>
      <c r="AQ28" s="1"/>
    </row>
    <row r="29" spans="1:43" ht="20.100000000000001" customHeight="1" x14ac:dyDescent="0.3">
      <c r="A29" s="33">
        <v>22</v>
      </c>
      <c r="B29" s="34"/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91"/>
      <c r="N29" s="35"/>
      <c r="O29" s="36"/>
      <c r="P29" s="36"/>
      <c r="Q29" s="36"/>
      <c r="R29" s="36"/>
      <c r="S29" s="37"/>
      <c r="T29" s="91"/>
      <c r="U29" s="35"/>
      <c r="V29" s="36"/>
      <c r="W29" s="36"/>
      <c r="X29" s="36"/>
      <c r="Y29" s="36"/>
      <c r="Z29" s="91"/>
      <c r="AA29" s="35"/>
      <c r="AB29" s="36"/>
      <c r="AC29" s="37"/>
      <c r="AD29" s="91"/>
      <c r="AE29" s="66">
        <f t="shared" si="0"/>
        <v>0</v>
      </c>
      <c r="AF29" s="66">
        <f t="shared" si="1"/>
        <v>0</v>
      </c>
      <c r="AG29" s="67">
        <f t="shared" si="2"/>
        <v>0</v>
      </c>
      <c r="AH29" s="66">
        <f t="shared" si="3"/>
        <v>0</v>
      </c>
      <c r="AI29" s="65" t="str">
        <f t="shared" si="4"/>
        <v/>
      </c>
      <c r="AJ29" s="63" t="str">
        <f t="shared" si="5"/>
        <v/>
      </c>
      <c r="AK29" s="64" t="str">
        <f t="shared" si="6"/>
        <v/>
      </c>
      <c r="AL29" s="63" t="str">
        <f t="shared" si="7"/>
        <v/>
      </c>
      <c r="AM29" s="70" t="str">
        <f t="shared" si="8"/>
        <v/>
      </c>
      <c r="AN29" s="1"/>
      <c r="AO29" s="1"/>
      <c r="AP29" s="1"/>
      <c r="AQ29" s="1"/>
    </row>
    <row r="30" spans="1:43" ht="20.100000000000001" customHeight="1" x14ac:dyDescent="0.3">
      <c r="A30" s="27">
        <v>23</v>
      </c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40"/>
      <c r="M30" s="92"/>
      <c r="N30" s="39"/>
      <c r="O30" s="40"/>
      <c r="P30" s="40"/>
      <c r="Q30" s="40"/>
      <c r="R30" s="40"/>
      <c r="S30" s="41"/>
      <c r="T30" s="92"/>
      <c r="U30" s="39"/>
      <c r="V30" s="40"/>
      <c r="W30" s="40"/>
      <c r="X30" s="40"/>
      <c r="Y30" s="40"/>
      <c r="Z30" s="92"/>
      <c r="AA30" s="39"/>
      <c r="AB30" s="40"/>
      <c r="AC30" s="41"/>
      <c r="AD30" s="92"/>
      <c r="AE30" s="62">
        <f t="shared" si="0"/>
        <v>0</v>
      </c>
      <c r="AF30" s="62">
        <f t="shared" si="1"/>
        <v>0</v>
      </c>
      <c r="AG30" s="68">
        <f t="shared" si="2"/>
        <v>0</v>
      </c>
      <c r="AH30" s="62">
        <f t="shared" si="3"/>
        <v>0</v>
      </c>
      <c r="AI30" s="65" t="str">
        <f t="shared" si="4"/>
        <v/>
      </c>
      <c r="AJ30" s="63" t="str">
        <f t="shared" si="5"/>
        <v/>
      </c>
      <c r="AK30" s="64" t="str">
        <f t="shared" si="6"/>
        <v/>
      </c>
      <c r="AL30" s="63" t="str">
        <f t="shared" si="7"/>
        <v/>
      </c>
      <c r="AM30" s="70" t="str">
        <f t="shared" si="8"/>
        <v/>
      </c>
      <c r="AN30" s="1"/>
      <c r="AO30" s="1"/>
      <c r="AP30" s="1"/>
      <c r="AQ30" s="1"/>
    </row>
    <row r="31" spans="1:43" ht="20.100000000000001" customHeight="1" x14ac:dyDescent="0.3">
      <c r="A31" s="33">
        <v>24</v>
      </c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91"/>
      <c r="N31" s="35"/>
      <c r="O31" s="36"/>
      <c r="P31" s="36"/>
      <c r="Q31" s="36"/>
      <c r="R31" s="36"/>
      <c r="S31" s="37"/>
      <c r="T31" s="91"/>
      <c r="U31" s="35"/>
      <c r="V31" s="36"/>
      <c r="W31" s="36"/>
      <c r="X31" s="36"/>
      <c r="Y31" s="36"/>
      <c r="Z31" s="91"/>
      <c r="AA31" s="35"/>
      <c r="AB31" s="36"/>
      <c r="AC31" s="37"/>
      <c r="AD31" s="91"/>
      <c r="AE31" s="66">
        <f t="shared" si="0"/>
        <v>0</v>
      </c>
      <c r="AF31" s="66">
        <f t="shared" si="1"/>
        <v>0</v>
      </c>
      <c r="AG31" s="67">
        <f t="shared" si="2"/>
        <v>0</v>
      </c>
      <c r="AH31" s="66">
        <f t="shared" si="3"/>
        <v>0</v>
      </c>
      <c r="AI31" s="65" t="str">
        <f t="shared" si="4"/>
        <v/>
      </c>
      <c r="AJ31" s="63" t="str">
        <f t="shared" si="5"/>
        <v/>
      </c>
      <c r="AK31" s="64" t="str">
        <f t="shared" si="6"/>
        <v/>
      </c>
      <c r="AL31" s="63" t="str">
        <f t="shared" si="7"/>
        <v/>
      </c>
      <c r="AM31" s="70" t="str">
        <f t="shared" si="8"/>
        <v/>
      </c>
      <c r="AN31" s="1"/>
      <c r="AO31" s="1"/>
      <c r="AP31" s="1"/>
      <c r="AQ31" s="1"/>
    </row>
    <row r="32" spans="1:43" ht="20.100000000000001" customHeight="1" x14ac:dyDescent="0.3">
      <c r="A32" s="27">
        <v>25</v>
      </c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40"/>
      <c r="M32" s="92"/>
      <c r="N32" s="39"/>
      <c r="O32" s="40"/>
      <c r="P32" s="40"/>
      <c r="Q32" s="40"/>
      <c r="R32" s="40"/>
      <c r="S32" s="41"/>
      <c r="T32" s="92"/>
      <c r="U32" s="39"/>
      <c r="V32" s="40"/>
      <c r="W32" s="40"/>
      <c r="X32" s="40"/>
      <c r="Y32" s="40"/>
      <c r="Z32" s="92"/>
      <c r="AA32" s="39"/>
      <c r="AB32" s="40"/>
      <c r="AC32" s="41"/>
      <c r="AD32" s="92"/>
      <c r="AE32" s="62">
        <f t="shared" si="0"/>
        <v>0</v>
      </c>
      <c r="AF32" s="62">
        <f t="shared" si="1"/>
        <v>0</v>
      </c>
      <c r="AG32" s="68">
        <f t="shared" si="2"/>
        <v>0</v>
      </c>
      <c r="AH32" s="62">
        <f t="shared" si="3"/>
        <v>0</v>
      </c>
      <c r="AI32" s="65" t="str">
        <f t="shared" si="4"/>
        <v/>
      </c>
      <c r="AJ32" s="63" t="str">
        <f t="shared" si="5"/>
        <v/>
      </c>
      <c r="AK32" s="64" t="str">
        <f t="shared" si="6"/>
        <v/>
      </c>
      <c r="AL32" s="63" t="str">
        <f t="shared" si="7"/>
        <v/>
      </c>
      <c r="AM32" s="70" t="str">
        <f t="shared" si="8"/>
        <v/>
      </c>
      <c r="AN32" s="1"/>
      <c r="AO32" s="1"/>
      <c r="AP32" s="1"/>
      <c r="AQ32" s="1"/>
    </row>
    <row r="33" spans="1:43" ht="20.100000000000001" customHeight="1" x14ac:dyDescent="0.3">
      <c r="A33" s="33">
        <v>26</v>
      </c>
      <c r="B33" s="34"/>
      <c r="C33" s="35"/>
      <c r="D33" s="36"/>
      <c r="E33" s="36"/>
      <c r="F33" s="36"/>
      <c r="G33" s="36"/>
      <c r="H33" s="36"/>
      <c r="I33" s="36"/>
      <c r="J33" s="36"/>
      <c r="K33" s="36"/>
      <c r="L33" s="36"/>
      <c r="M33" s="91"/>
      <c r="N33" s="35"/>
      <c r="O33" s="36"/>
      <c r="P33" s="36"/>
      <c r="Q33" s="36"/>
      <c r="R33" s="36"/>
      <c r="S33" s="37"/>
      <c r="T33" s="91"/>
      <c r="U33" s="35"/>
      <c r="V33" s="36"/>
      <c r="W33" s="36"/>
      <c r="X33" s="36"/>
      <c r="Y33" s="36"/>
      <c r="Z33" s="91"/>
      <c r="AA33" s="35"/>
      <c r="AB33" s="36"/>
      <c r="AC33" s="37"/>
      <c r="AD33" s="91"/>
      <c r="AE33" s="66">
        <f t="shared" si="0"/>
        <v>0</v>
      </c>
      <c r="AF33" s="66">
        <f t="shared" si="1"/>
        <v>0</v>
      </c>
      <c r="AG33" s="67">
        <f t="shared" si="2"/>
        <v>0</v>
      </c>
      <c r="AH33" s="66">
        <f t="shared" si="3"/>
        <v>0</v>
      </c>
      <c r="AI33" s="65" t="str">
        <f t="shared" si="4"/>
        <v/>
      </c>
      <c r="AJ33" s="63" t="str">
        <f t="shared" si="5"/>
        <v/>
      </c>
      <c r="AK33" s="64" t="str">
        <f t="shared" si="6"/>
        <v/>
      </c>
      <c r="AL33" s="63" t="str">
        <f t="shared" si="7"/>
        <v/>
      </c>
      <c r="AM33" s="70" t="str">
        <f t="shared" si="8"/>
        <v/>
      </c>
      <c r="AN33" s="1"/>
      <c r="AO33" s="1"/>
      <c r="AP33" s="1"/>
      <c r="AQ33" s="1"/>
    </row>
    <row r="34" spans="1:43" ht="20.100000000000001" customHeight="1" x14ac:dyDescent="0.3">
      <c r="A34" s="27">
        <v>27</v>
      </c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92"/>
      <c r="N34" s="39"/>
      <c r="O34" s="40"/>
      <c r="P34" s="40"/>
      <c r="Q34" s="40"/>
      <c r="R34" s="40"/>
      <c r="S34" s="41"/>
      <c r="T34" s="92"/>
      <c r="U34" s="39"/>
      <c r="V34" s="40"/>
      <c r="W34" s="40"/>
      <c r="X34" s="40"/>
      <c r="Y34" s="40"/>
      <c r="Z34" s="92"/>
      <c r="AA34" s="39"/>
      <c r="AB34" s="40"/>
      <c r="AC34" s="41"/>
      <c r="AD34" s="92"/>
      <c r="AE34" s="62">
        <f t="shared" si="0"/>
        <v>0</v>
      </c>
      <c r="AF34" s="62">
        <f t="shared" si="1"/>
        <v>0</v>
      </c>
      <c r="AG34" s="68">
        <f t="shared" si="2"/>
        <v>0</v>
      </c>
      <c r="AH34" s="62">
        <f t="shared" si="3"/>
        <v>0</v>
      </c>
      <c r="AI34" s="65" t="str">
        <f t="shared" si="4"/>
        <v/>
      </c>
      <c r="AJ34" s="63" t="str">
        <f t="shared" si="5"/>
        <v/>
      </c>
      <c r="AK34" s="64" t="str">
        <f t="shared" si="6"/>
        <v/>
      </c>
      <c r="AL34" s="63" t="str">
        <f t="shared" si="7"/>
        <v/>
      </c>
      <c r="AM34" s="70" t="str">
        <f t="shared" si="8"/>
        <v/>
      </c>
      <c r="AN34" s="1"/>
      <c r="AO34" s="1"/>
      <c r="AP34" s="1"/>
      <c r="AQ34" s="1"/>
    </row>
    <row r="35" spans="1:43" ht="20.100000000000001" customHeight="1" x14ac:dyDescent="0.3">
      <c r="A35" s="33">
        <v>28</v>
      </c>
      <c r="B35" s="34"/>
      <c r="C35" s="35"/>
      <c r="D35" s="36"/>
      <c r="E35" s="36"/>
      <c r="F35" s="36"/>
      <c r="G35" s="36"/>
      <c r="H35" s="36"/>
      <c r="I35" s="36"/>
      <c r="J35" s="36"/>
      <c r="K35" s="36"/>
      <c r="L35" s="36"/>
      <c r="M35" s="91"/>
      <c r="N35" s="35"/>
      <c r="O35" s="36"/>
      <c r="P35" s="36"/>
      <c r="Q35" s="36"/>
      <c r="R35" s="36"/>
      <c r="S35" s="37"/>
      <c r="T35" s="91"/>
      <c r="U35" s="35"/>
      <c r="V35" s="36"/>
      <c r="W35" s="36"/>
      <c r="X35" s="36"/>
      <c r="Y35" s="36"/>
      <c r="Z35" s="91"/>
      <c r="AA35" s="35"/>
      <c r="AB35" s="36"/>
      <c r="AC35" s="37"/>
      <c r="AD35" s="91"/>
      <c r="AE35" s="66">
        <f t="shared" si="0"/>
        <v>0</v>
      </c>
      <c r="AF35" s="66">
        <f t="shared" si="1"/>
        <v>0</v>
      </c>
      <c r="AG35" s="67">
        <f t="shared" si="2"/>
        <v>0</v>
      </c>
      <c r="AH35" s="66">
        <f t="shared" si="3"/>
        <v>0</v>
      </c>
      <c r="AI35" s="65" t="str">
        <f t="shared" si="4"/>
        <v/>
      </c>
      <c r="AJ35" s="63" t="str">
        <f t="shared" si="5"/>
        <v/>
      </c>
      <c r="AK35" s="64" t="str">
        <f t="shared" si="6"/>
        <v/>
      </c>
      <c r="AL35" s="63" t="str">
        <f t="shared" si="7"/>
        <v/>
      </c>
      <c r="AM35" s="70" t="str">
        <f t="shared" si="8"/>
        <v/>
      </c>
      <c r="AN35" s="1"/>
      <c r="AO35" s="1"/>
      <c r="AP35" s="1"/>
      <c r="AQ35" s="1"/>
    </row>
    <row r="36" spans="1:43" ht="20.100000000000001" customHeight="1" x14ac:dyDescent="0.3">
      <c r="A36" s="27">
        <v>29</v>
      </c>
      <c r="B36" s="38"/>
      <c r="C36" s="39"/>
      <c r="D36" s="40"/>
      <c r="E36" s="40"/>
      <c r="F36" s="40"/>
      <c r="G36" s="40"/>
      <c r="H36" s="40"/>
      <c r="I36" s="40"/>
      <c r="J36" s="40"/>
      <c r="K36" s="40"/>
      <c r="L36" s="40"/>
      <c r="M36" s="92"/>
      <c r="N36" s="39"/>
      <c r="O36" s="40"/>
      <c r="P36" s="40"/>
      <c r="Q36" s="40"/>
      <c r="R36" s="40"/>
      <c r="S36" s="41"/>
      <c r="T36" s="92"/>
      <c r="U36" s="39"/>
      <c r="V36" s="40"/>
      <c r="W36" s="40"/>
      <c r="X36" s="40"/>
      <c r="Y36" s="40"/>
      <c r="Z36" s="92"/>
      <c r="AA36" s="39"/>
      <c r="AB36" s="40"/>
      <c r="AC36" s="41"/>
      <c r="AD36" s="92"/>
      <c r="AE36" s="62">
        <f t="shared" si="0"/>
        <v>0</v>
      </c>
      <c r="AF36" s="62">
        <f t="shared" si="1"/>
        <v>0</v>
      </c>
      <c r="AG36" s="68">
        <f t="shared" si="2"/>
        <v>0</v>
      </c>
      <c r="AH36" s="62">
        <f t="shared" si="3"/>
        <v>0</v>
      </c>
      <c r="AI36" s="65" t="str">
        <f t="shared" si="4"/>
        <v/>
      </c>
      <c r="AJ36" s="63" t="str">
        <f t="shared" si="5"/>
        <v/>
      </c>
      <c r="AK36" s="64" t="str">
        <f t="shared" si="6"/>
        <v/>
      </c>
      <c r="AL36" s="63" t="str">
        <f t="shared" si="7"/>
        <v/>
      </c>
      <c r="AM36" s="70" t="str">
        <f t="shared" si="8"/>
        <v/>
      </c>
      <c r="AN36" s="1"/>
      <c r="AO36" s="1"/>
      <c r="AP36" s="1"/>
      <c r="AQ36" s="1"/>
    </row>
    <row r="37" spans="1:43" ht="20.100000000000001" customHeight="1" x14ac:dyDescent="0.3">
      <c r="A37" s="33">
        <v>30</v>
      </c>
      <c r="B37" s="34"/>
      <c r="C37" s="35"/>
      <c r="D37" s="36"/>
      <c r="E37" s="36"/>
      <c r="F37" s="36"/>
      <c r="G37" s="36"/>
      <c r="H37" s="36"/>
      <c r="I37" s="36"/>
      <c r="J37" s="36"/>
      <c r="K37" s="36"/>
      <c r="L37" s="36"/>
      <c r="M37" s="91"/>
      <c r="N37" s="35"/>
      <c r="O37" s="36"/>
      <c r="P37" s="36"/>
      <c r="Q37" s="36"/>
      <c r="R37" s="36"/>
      <c r="S37" s="37"/>
      <c r="T37" s="91"/>
      <c r="U37" s="35"/>
      <c r="V37" s="36"/>
      <c r="W37" s="36"/>
      <c r="X37" s="36"/>
      <c r="Y37" s="36"/>
      <c r="Z37" s="91"/>
      <c r="AA37" s="35"/>
      <c r="AB37" s="36"/>
      <c r="AC37" s="37"/>
      <c r="AD37" s="91"/>
      <c r="AE37" s="66">
        <f t="shared" si="0"/>
        <v>0</v>
      </c>
      <c r="AF37" s="66">
        <f t="shared" si="1"/>
        <v>0</v>
      </c>
      <c r="AG37" s="67">
        <f t="shared" si="2"/>
        <v>0</v>
      </c>
      <c r="AH37" s="66">
        <f t="shared" si="3"/>
        <v>0</v>
      </c>
      <c r="AI37" s="65" t="str">
        <f t="shared" si="4"/>
        <v/>
      </c>
      <c r="AJ37" s="63" t="str">
        <f t="shared" si="5"/>
        <v/>
      </c>
      <c r="AK37" s="64" t="str">
        <f t="shared" si="6"/>
        <v/>
      </c>
      <c r="AL37" s="63" t="str">
        <f t="shared" si="7"/>
        <v/>
      </c>
      <c r="AM37" s="70" t="str">
        <f t="shared" si="8"/>
        <v/>
      </c>
      <c r="AN37" s="1"/>
      <c r="AO37" s="1"/>
      <c r="AP37" s="1"/>
      <c r="AQ37" s="1"/>
    </row>
    <row r="38" spans="1:43" ht="20.100000000000001" customHeight="1" x14ac:dyDescent="0.3">
      <c r="A38" s="27">
        <v>31</v>
      </c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92"/>
      <c r="N38" s="39"/>
      <c r="O38" s="40"/>
      <c r="P38" s="40"/>
      <c r="Q38" s="40"/>
      <c r="R38" s="40"/>
      <c r="S38" s="41"/>
      <c r="T38" s="92"/>
      <c r="U38" s="39"/>
      <c r="V38" s="40"/>
      <c r="W38" s="40"/>
      <c r="X38" s="40"/>
      <c r="Y38" s="40"/>
      <c r="Z38" s="92"/>
      <c r="AA38" s="39"/>
      <c r="AB38" s="40"/>
      <c r="AC38" s="41"/>
      <c r="AD38" s="92"/>
      <c r="AE38" s="62">
        <f t="shared" si="0"/>
        <v>0</v>
      </c>
      <c r="AF38" s="62">
        <f t="shared" si="1"/>
        <v>0</v>
      </c>
      <c r="AG38" s="68">
        <f t="shared" si="2"/>
        <v>0</v>
      </c>
      <c r="AH38" s="62">
        <f t="shared" si="3"/>
        <v>0</v>
      </c>
      <c r="AI38" s="65" t="str">
        <f t="shared" si="4"/>
        <v/>
      </c>
      <c r="AJ38" s="63" t="str">
        <f t="shared" si="5"/>
        <v/>
      </c>
      <c r="AK38" s="64" t="str">
        <f t="shared" si="6"/>
        <v/>
      </c>
      <c r="AL38" s="63" t="str">
        <f t="shared" si="7"/>
        <v/>
      </c>
      <c r="AM38" s="70" t="str">
        <f t="shared" si="8"/>
        <v/>
      </c>
      <c r="AN38" s="1"/>
      <c r="AO38" s="1"/>
      <c r="AP38" s="1"/>
      <c r="AQ38" s="1"/>
    </row>
    <row r="39" spans="1:43" ht="20.100000000000001" customHeight="1" x14ac:dyDescent="0.3">
      <c r="A39" s="33">
        <v>32</v>
      </c>
      <c r="B39" s="34"/>
      <c r="C39" s="35"/>
      <c r="D39" s="36"/>
      <c r="E39" s="36"/>
      <c r="F39" s="36"/>
      <c r="G39" s="36"/>
      <c r="H39" s="36"/>
      <c r="I39" s="36"/>
      <c r="J39" s="36"/>
      <c r="K39" s="36"/>
      <c r="L39" s="36"/>
      <c r="M39" s="91"/>
      <c r="N39" s="35"/>
      <c r="O39" s="36"/>
      <c r="P39" s="36"/>
      <c r="Q39" s="36"/>
      <c r="R39" s="36"/>
      <c r="S39" s="37"/>
      <c r="T39" s="91"/>
      <c r="U39" s="35"/>
      <c r="V39" s="36"/>
      <c r="W39" s="36"/>
      <c r="X39" s="36"/>
      <c r="Y39" s="36"/>
      <c r="Z39" s="91"/>
      <c r="AA39" s="35"/>
      <c r="AB39" s="36"/>
      <c r="AC39" s="37"/>
      <c r="AD39" s="91"/>
      <c r="AE39" s="66">
        <f t="shared" si="0"/>
        <v>0</v>
      </c>
      <c r="AF39" s="66">
        <f t="shared" si="1"/>
        <v>0</v>
      </c>
      <c r="AG39" s="67">
        <f t="shared" si="2"/>
        <v>0</v>
      </c>
      <c r="AH39" s="66">
        <f t="shared" si="3"/>
        <v>0</v>
      </c>
      <c r="AI39" s="65" t="str">
        <f t="shared" si="4"/>
        <v/>
      </c>
      <c r="AJ39" s="63" t="str">
        <f t="shared" si="5"/>
        <v/>
      </c>
      <c r="AK39" s="64" t="str">
        <f t="shared" si="6"/>
        <v/>
      </c>
      <c r="AL39" s="63" t="str">
        <f t="shared" si="7"/>
        <v/>
      </c>
      <c r="AM39" s="70" t="str">
        <f t="shared" si="8"/>
        <v/>
      </c>
      <c r="AN39" s="1"/>
      <c r="AO39" s="1"/>
      <c r="AP39" s="1"/>
      <c r="AQ39" s="1"/>
    </row>
    <row r="40" spans="1:43" ht="20.100000000000001" customHeight="1" x14ac:dyDescent="0.3">
      <c r="A40" s="27">
        <v>33</v>
      </c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40"/>
      <c r="M40" s="92"/>
      <c r="N40" s="39"/>
      <c r="O40" s="40"/>
      <c r="P40" s="40"/>
      <c r="Q40" s="40"/>
      <c r="R40" s="40"/>
      <c r="S40" s="41"/>
      <c r="T40" s="92"/>
      <c r="U40" s="39"/>
      <c r="V40" s="40"/>
      <c r="W40" s="40"/>
      <c r="X40" s="40"/>
      <c r="Y40" s="40"/>
      <c r="Z40" s="92"/>
      <c r="AA40" s="39"/>
      <c r="AB40" s="40"/>
      <c r="AC40" s="41"/>
      <c r="AD40" s="92"/>
      <c r="AE40" s="62">
        <f t="shared" si="0"/>
        <v>0</v>
      </c>
      <c r="AF40" s="62">
        <f t="shared" si="1"/>
        <v>0</v>
      </c>
      <c r="AG40" s="68">
        <f t="shared" si="2"/>
        <v>0</v>
      </c>
      <c r="AH40" s="62">
        <f t="shared" si="3"/>
        <v>0</v>
      </c>
      <c r="AI40" s="65" t="str">
        <f t="shared" si="4"/>
        <v/>
      </c>
      <c r="AJ40" s="63" t="str">
        <f t="shared" si="5"/>
        <v/>
      </c>
      <c r="AK40" s="64" t="str">
        <f t="shared" si="6"/>
        <v/>
      </c>
      <c r="AL40" s="63" t="str">
        <f t="shared" si="7"/>
        <v/>
      </c>
      <c r="AM40" s="70" t="str">
        <f t="shared" si="8"/>
        <v/>
      </c>
      <c r="AN40" s="1"/>
      <c r="AO40" s="1"/>
      <c r="AP40" s="1"/>
      <c r="AQ40" s="1"/>
    </row>
    <row r="41" spans="1:43" ht="20.100000000000001" customHeight="1" x14ac:dyDescent="0.3">
      <c r="A41" s="33">
        <v>34</v>
      </c>
      <c r="B41" s="34"/>
      <c r="C41" s="35"/>
      <c r="D41" s="36"/>
      <c r="E41" s="36"/>
      <c r="F41" s="36"/>
      <c r="G41" s="36"/>
      <c r="H41" s="36"/>
      <c r="I41" s="36"/>
      <c r="J41" s="36"/>
      <c r="K41" s="36"/>
      <c r="L41" s="36"/>
      <c r="M41" s="91"/>
      <c r="N41" s="35"/>
      <c r="O41" s="36"/>
      <c r="P41" s="36"/>
      <c r="Q41" s="36"/>
      <c r="R41" s="36"/>
      <c r="S41" s="37"/>
      <c r="T41" s="91"/>
      <c r="U41" s="35"/>
      <c r="V41" s="36"/>
      <c r="W41" s="36"/>
      <c r="X41" s="36"/>
      <c r="Y41" s="36"/>
      <c r="Z41" s="91"/>
      <c r="AA41" s="35"/>
      <c r="AB41" s="36"/>
      <c r="AC41" s="37"/>
      <c r="AD41" s="91"/>
      <c r="AE41" s="66">
        <f t="shared" si="0"/>
        <v>0</v>
      </c>
      <c r="AF41" s="66">
        <f t="shared" si="1"/>
        <v>0</v>
      </c>
      <c r="AG41" s="67">
        <f t="shared" si="2"/>
        <v>0</v>
      </c>
      <c r="AH41" s="66">
        <f t="shared" si="3"/>
        <v>0</v>
      </c>
      <c r="AI41" s="65" t="str">
        <f t="shared" si="4"/>
        <v/>
      </c>
      <c r="AJ41" s="63" t="str">
        <f t="shared" si="5"/>
        <v/>
      </c>
      <c r="AK41" s="64" t="str">
        <f t="shared" si="6"/>
        <v/>
      </c>
      <c r="AL41" s="63" t="str">
        <f t="shared" si="7"/>
        <v/>
      </c>
      <c r="AM41" s="70" t="str">
        <f t="shared" si="8"/>
        <v/>
      </c>
      <c r="AN41" s="1"/>
      <c r="AO41" s="1"/>
      <c r="AP41" s="1"/>
      <c r="AQ41" s="1"/>
    </row>
    <row r="42" spans="1:43" ht="20.100000000000001" customHeight="1" x14ac:dyDescent="0.3">
      <c r="A42" s="27">
        <v>35</v>
      </c>
      <c r="B42" s="38"/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92"/>
      <c r="N42" s="39"/>
      <c r="O42" s="40"/>
      <c r="P42" s="40"/>
      <c r="Q42" s="40"/>
      <c r="R42" s="40"/>
      <c r="S42" s="41"/>
      <c r="T42" s="92"/>
      <c r="U42" s="39"/>
      <c r="V42" s="40"/>
      <c r="W42" s="40"/>
      <c r="X42" s="40"/>
      <c r="Y42" s="40"/>
      <c r="Z42" s="92"/>
      <c r="AA42" s="39"/>
      <c r="AB42" s="40"/>
      <c r="AC42" s="41"/>
      <c r="AD42" s="92"/>
      <c r="AE42" s="62">
        <f t="shared" si="0"/>
        <v>0</v>
      </c>
      <c r="AF42" s="62">
        <f t="shared" si="1"/>
        <v>0</v>
      </c>
      <c r="AG42" s="68">
        <f t="shared" si="2"/>
        <v>0</v>
      </c>
      <c r="AH42" s="62">
        <f t="shared" si="3"/>
        <v>0</v>
      </c>
      <c r="AI42" s="65" t="str">
        <f t="shared" si="4"/>
        <v/>
      </c>
      <c r="AJ42" s="63" t="str">
        <f t="shared" si="5"/>
        <v/>
      </c>
      <c r="AK42" s="64" t="str">
        <f t="shared" si="6"/>
        <v/>
      </c>
      <c r="AL42" s="63" t="str">
        <f t="shared" si="7"/>
        <v/>
      </c>
      <c r="AM42" s="70" t="str">
        <f t="shared" si="8"/>
        <v/>
      </c>
      <c r="AN42" s="1"/>
      <c r="AO42" s="1"/>
      <c r="AP42" s="1"/>
      <c r="AQ42" s="1"/>
    </row>
    <row r="43" spans="1:43" ht="20.100000000000001" customHeight="1" x14ac:dyDescent="0.3">
      <c r="A43" s="33">
        <v>36</v>
      </c>
      <c r="B43" s="34"/>
      <c r="C43" s="35"/>
      <c r="D43" s="36"/>
      <c r="E43" s="36"/>
      <c r="F43" s="36"/>
      <c r="G43" s="36"/>
      <c r="H43" s="36"/>
      <c r="I43" s="36"/>
      <c r="J43" s="36"/>
      <c r="K43" s="36"/>
      <c r="L43" s="36"/>
      <c r="M43" s="91"/>
      <c r="N43" s="35"/>
      <c r="O43" s="36"/>
      <c r="P43" s="36"/>
      <c r="Q43" s="36"/>
      <c r="R43" s="36"/>
      <c r="S43" s="37"/>
      <c r="T43" s="91"/>
      <c r="U43" s="35"/>
      <c r="V43" s="36"/>
      <c r="W43" s="36"/>
      <c r="X43" s="36"/>
      <c r="Y43" s="36"/>
      <c r="Z43" s="91"/>
      <c r="AA43" s="35"/>
      <c r="AB43" s="36"/>
      <c r="AC43" s="37"/>
      <c r="AD43" s="91"/>
      <c r="AE43" s="66">
        <f t="shared" si="0"/>
        <v>0</v>
      </c>
      <c r="AF43" s="66">
        <f t="shared" si="1"/>
        <v>0</v>
      </c>
      <c r="AG43" s="67">
        <f t="shared" si="2"/>
        <v>0</v>
      </c>
      <c r="AH43" s="66">
        <f t="shared" si="3"/>
        <v>0</v>
      </c>
      <c r="AI43" s="65" t="str">
        <f t="shared" si="4"/>
        <v/>
      </c>
      <c r="AJ43" s="63" t="str">
        <f t="shared" si="5"/>
        <v/>
      </c>
      <c r="AK43" s="64" t="str">
        <f t="shared" si="6"/>
        <v/>
      </c>
      <c r="AL43" s="63" t="str">
        <f t="shared" si="7"/>
        <v/>
      </c>
      <c r="AM43" s="70" t="str">
        <f t="shared" si="8"/>
        <v/>
      </c>
      <c r="AN43" s="1"/>
      <c r="AO43" s="1"/>
      <c r="AP43" s="1"/>
      <c r="AQ43" s="1"/>
    </row>
    <row r="44" spans="1:43" ht="20.100000000000001" customHeight="1" x14ac:dyDescent="0.3">
      <c r="A44" s="27">
        <v>37</v>
      </c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92"/>
      <c r="N44" s="39"/>
      <c r="O44" s="40"/>
      <c r="P44" s="40"/>
      <c r="Q44" s="40"/>
      <c r="R44" s="40"/>
      <c r="S44" s="41"/>
      <c r="T44" s="92"/>
      <c r="U44" s="39"/>
      <c r="V44" s="40"/>
      <c r="W44" s="40"/>
      <c r="X44" s="40"/>
      <c r="Y44" s="40"/>
      <c r="Z44" s="92"/>
      <c r="AA44" s="39"/>
      <c r="AB44" s="40"/>
      <c r="AC44" s="41"/>
      <c r="AD44" s="92"/>
      <c r="AE44" s="62">
        <f t="shared" si="0"/>
        <v>0</v>
      </c>
      <c r="AF44" s="62">
        <f t="shared" si="1"/>
        <v>0</v>
      </c>
      <c r="AG44" s="68">
        <f t="shared" si="2"/>
        <v>0</v>
      </c>
      <c r="AH44" s="62">
        <f t="shared" si="3"/>
        <v>0</v>
      </c>
      <c r="AI44" s="65" t="str">
        <f t="shared" si="4"/>
        <v/>
      </c>
      <c r="AJ44" s="63" t="str">
        <f t="shared" si="5"/>
        <v/>
      </c>
      <c r="AK44" s="64" t="str">
        <f t="shared" si="6"/>
        <v/>
      </c>
      <c r="AL44" s="63" t="str">
        <f t="shared" si="7"/>
        <v/>
      </c>
      <c r="AM44" s="70" t="str">
        <f t="shared" si="8"/>
        <v/>
      </c>
      <c r="AN44" s="1"/>
      <c r="AO44" s="1"/>
      <c r="AP44" s="1"/>
      <c r="AQ44" s="1"/>
    </row>
    <row r="45" spans="1:43" ht="20.100000000000001" customHeight="1" x14ac:dyDescent="0.3">
      <c r="A45" s="33">
        <v>38</v>
      </c>
      <c r="B45" s="34"/>
      <c r="C45" s="35"/>
      <c r="D45" s="36"/>
      <c r="E45" s="36"/>
      <c r="F45" s="36"/>
      <c r="G45" s="36"/>
      <c r="H45" s="36"/>
      <c r="I45" s="36"/>
      <c r="J45" s="36"/>
      <c r="K45" s="36"/>
      <c r="L45" s="36"/>
      <c r="M45" s="91"/>
      <c r="N45" s="35"/>
      <c r="O45" s="36"/>
      <c r="P45" s="36"/>
      <c r="Q45" s="36"/>
      <c r="R45" s="36"/>
      <c r="S45" s="37"/>
      <c r="T45" s="91"/>
      <c r="U45" s="35"/>
      <c r="V45" s="36"/>
      <c r="W45" s="36"/>
      <c r="X45" s="36"/>
      <c r="Y45" s="36"/>
      <c r="Z45" s="91"/>
      <c r="AA45" s="35"/>
      <c r="AB45" s="36"/>
      <c r="AC45" s="37"/>
      <c r="AD45" s="91"/>
      <c r="AE45" s="66">
        <f t="shared" si="0"/>
        <v>0</v>
      </c>
      <c r="AF45" s="66">
        <f t="shared" si="1"/>
        <v>0</v>
      </c>
      <c r="AG45" s="67">
        <f t="shared" si="2"/>
        <v>0</v>
      </c>
      <c r="AH45" s="66">
        <f t="shared" si="3"/>
        <v>0</v>
      </c>
      <c r="AI45" s="65" t="str">
        <f t="shared" si="4"/>
        <v/>
      </c>
      <c r="AJ45" s="63" t="str">
        <f t="shared" si="5"/>
        <v/>
      </c>
      <c r="AK45" s="64" t="str">
        <f t="shared" si="6"/>
        <v/>
      </c>
      <c r="AL45" s="63" t="str">
        <f t="shared" si="7"/>
        <v/>
      </c>
      <c r="AM45" s="70" t="str">
        <f t="shared" si="8"/>
        <v/>
      </c>
      <c r="AN45" s="1"/>
      <c r="AO45" s="1"/>
      <c r="AP45" s="1"/>
      <c r="AQ45" s="1"/>
    </row>
    <row r="46" spans="1:43" ht="20.100000000000001" customHeight="1" x14ac:dyDescent="0.3">
      <c r="A46" s="27">
        <v>39</v>
      </c>
      <c r="B46" s="38"/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92"/>
      <c r="N46" s="39"/>
      <c r="O46" s="40"/>
      <c r="P46" s="40"/>
      <c r="Q46" s="40"/>
      <c r="R46" s="40"/>
      <c r="S46" s="41"/>
      <c r="T46" s="92"/>
      <c r="U46" s="39"/>
      <c r="V46" s="40"/>
      <c r="W46" s="40"/>
      <c r="X46" s="40"/>
      <c r="Y46" s="40"/>
      <c r="Z46" s="92"/>
      <c r="AA46" s="39"/>
      <c r="AB46" s="40"/>
      <c r="AC46" s="41"/>
      <c r="AD46" s="92"/>
      <c r="AE46" s="62">
        <f t="shared" si="0"/>
        <v>0</v>
      </c>
      <c r="AF46" s="62">
        <f t="shared" si="1"/>
        <v>0</v>
      </c>
      <c r="AG46" s="68">
        <f t="shared" si="2"/>
        <v>0</v>
      </c>
      <c r="AH46" s="62">
        <f t="shared" si="3"/>
        <v>0</v>
      </c>
      <c r="AI46" s="65" t="str">
        <f t="shared" si="4"/>
        <v/>
      </c>
      <c r="AJ46" s="63" t="str">
        <f t="shared" si="5"/>
        <v/>
      </c>
      <c r="AK46" s="64" t="str">
        <f t="shared" si="6"/>
        <v/>
      </c>
      <c r="AL46" s="63" t="str">
        <f t="shared" si="7"/>
        <v/>
      </c>
      <c r="AM46" s="70" t="str">
        <f t="shared" si="8"/>
        <v/>
      </c>
      <c r="AN46" s="1"/>
      <c r="AO46" s="1"/>
      <c r="AP46" s="1"/>
      <c r="AQ46" s="1"/>
    </row>
    <row r="47" spans="1:43" ht="20.100000000000001" customHeight="1" thickBot="1" x14ac:dyDescent="0.35">
      <c r="A47" s="42">
        <v>40</v>
      </c>
      <c r="B47" s="43"/>
      <c r="C47" s="47"/>
      <c r="D47" s="48"/>
      <c r="E47" s="48"/>
      <c r="F47" s="48"/>
      <c r="G47" s="48"/>
      <c r="H47" s="48"/>
      <c r="I47" s="48"/>
      <c r="J47" s="48"/>
      <c r="K47" s="48"/>
      <c r="L47" s="48"/>
      <c r="M47" s="93"/>
      <c r="N47" s="47"/>
      <c r="O47" s="48"/>
      <c r="P47" s="48"/>
      <c r="Q47" s="48"/>
      <c r="R47" s="48"/>
      <c r="S47" s="115"/>
      <c r="T47" s="93"/>
      <c r="U47" s="47"/>
      <c r="V47" s="48"/>
      <c r="W47" s="48"/>
      <c r="X47" s="48"/>
      <c r="Y47" s="48"/>
      <c r="Z47" s="93"/>
      <c r="AA47" s="47"/>
      <c r="AB47" s="48"/>
      <c r="AC47" s="115"/>
      <c r="AD47" s="93"/>
      <c r="AE47" s="71">
        <f t="shared" si="0"/>
        <v>0</v>
      </c>
      <c r="AF47" s="71">
        <f t="shared" si="1"/>
        <v>0</v>
      </c>
      <c r="AG47" s="72">
        <f t="shared" si="2"/>
        <v>0</v>
      </c>
      <c r="AH47" s="71">
        <f t="shared" si="3"/>
        <v>0</v>
      </c>
      <c r="AI47" s="65" t="str">
        <f t="shared" si="4"/>
        <v/>
      </c>
      <c r="AJ47" s="63" t="str">
        <f t="shared" si="5"/>
        <v/>
      </c>
      <c r="AK47" s="64" t="str">
        <f t="shared" si="6"/>
        <v/>
      </c>
      <c r="AL47" s="63" t="str">
        <f t="shared" si="7"/>
        <v/>
      </c>
      <c r="AM47" s="70" t="str">
        <f t="shared" si="8"/>
        <v/>
      </c>
      <c r="AN47" s="1"/>
      <c r="AO47" s="1"/>
      <c r="AP47" s="1"/>
      <c r="AQ47" s="1"/>
    </row>
    <row r="48" spans="1:43" ht="27" customHeight="1" thickBot="1" x14ac:dyDescent="0.35">
      <c r="A48" s="191" t="s">
        <v>31</v>
      </c>
      <c r="B48" s="192"/>
      <c r="C48" s="49" t="s">
        <v>10</v>
      </c>
      <c r="D48" s="49" t="s">
        <v>11</v>
      </c>
      <c r="E48" s="49" t="s">
        <v>12</v>
      </c>
      <c r="F48" s="49" t="s">
        <v>13</v>
      </c>
      <c r="G48" s="49" t="s">
        <v>14</v>
      </c>
      <c r="H48" s="49" t="s">
        <v>15</v>
      </c>
      <c r="I48" s="49" t="s">
        <v>16</v>
      </c>
      <c r="J48" s="49" t="s">
        <v>17</v>
      </c>
      <c r="K48" s="49" t="s">
        <v>18</v>
      </c>
      <c r="L48" s="49" t="s">
        <v>19</v>
      </c>
      <c r="M48" s="49" t="s">
        <v>20</v>
      </c>
      <c r="N48" s="49" t="s">
        <v>21</v>
      </c>
      <c r="O48" s="49" t="s">
        <v>22</v>
      </c>
      <c r="P48" s="49" t="s">
        <v>23</v>
      </c>
      <c r="Q48" s="49" t="s">
        <v>24</v>
      </c>
      <c r="R48" s="49" t="s">
        <v>25</v>
      </c>
      <c r="S48" s="49" t="s">
        <v>26</v>
      </c>
      <c r="T48" s="49" t="s">
        <v>27</v>
      </c>
      <c r="U48" s="49" t="s">
        <v>28</v>
      </c>
      <c r="V48" s="49" t="s">
        <v>29</v>
      </c>
      <c r="W48" s="49" t="s">
        <v>53</v>
      </c>
      <c r="X48" s="49" t="s">
        <v>54</v>
      </c>
      <c r="Y48" s="49" t="s">
        <v>55</v>
      </c>
      <c r="Z48" s="49" t="s">
        <v>56</v>
      </c>
      <c r="AA48" s="49" t="s">
        <v>67</v>
      </c>
      <c r="AB48" s="49" t="s">
        <v>72</v>
      </c>
      <c r="AC48" s="49" t="s">
        <v>77</v>
      </c>
      <c r="AD48" s="49" t="s">
        <v>78</v>
      </c>
      <c r="AE48" s="15"/>
      <c r="AF48" s="15"/>
      <c r="AG48" s="193" t="s">
        <v>32</v>
      </c>
      <c r="AH48" s="194"/>
      <c r="AI48" s="194"/>
      <c r="AJ48" s="194"/>
      <c r="AK48" s="194"/>
      <c r="AL48" s="194"/>
      <c r="AM48" s="195"/>
      <c r="AN48" s="1"/>
      <c r="AO48" s="1"/>
      <c r="AP48" s="1"/>
      <c r="AQ48" s="1"/>
    </row>
    <row r="49" spans="1:43" ht="27" customHeight="1" x14ac:dyDescent="0.3">
      <c r="A49" s="156" t="s">
        <v>6</v>
      </c>
      <c r="B49" s="157"/>
      <c r="C49" s="74">
        <f t="shared" ref="C49" si="9">COUNTIF(C8:C47,3)/COUNTA(C8:C47)*1</f>
        <v>0.66666666666666663</v>
      </c>
      <c r="D49" s="74">
        <f t="shared" ref="D49:AD49" si="10">COUNTIF(D8:D47,3)/COUNTA(D8:D47)*1</f>
        <v>0.83333333333333337</v>
      </c>
      <c r="E49" s="74">
        <f t="shared" si="10"/>
        <v>0.66666666666666663</v>
      </c>
      <c r="F49" s="74">
        <f t="shared" si="10"/>
        <v>0.83333333333333337</v>
      </c>
      <c r="G49" s="74">
        <f t="shared" si="10"/>
        <v>0.66666666666666663</v>
      </c>
      <c r="H49" s="74">
        <f t="shared" si="10"/>
        <v>0.66666666666666663</v>
      </c>
      <c r="I49" s="74">
        <f t="shared" si="10"/>
        <v>0.66666666666666663</v>
      </c>
      <c r="J49" s="74">
        <f t="shared" si="10"/>
        <v>0.5</v>
      </c>
      <c r="K49" s="74">
        <f t="shared" si="10"/>
        <v>0.5</v>
      </c>
      <c r="L49" s="74">
        <f t="shared" si="10"/>
        <v>0.83333333333333337</v>
      </c>
      <c r="M49" s="74">
        <f t="shared" si="10"/>
        <v>0.66666666666666663</v>
      </c>
      <c r="N49" s="74">
        <f t="shared" si="10"/>
        <v>0.83333333333333337</v>
      </c>
      <c r="O49" s="74">
        <f t="shared" si="10"/>
        <v>0.83333333333333337</v>
      </c>
      <c r="P49" s="74">
        <f t="shared" si="10"/>
        <v>0.83333333333333337</v>
      </c>
      <c r="Q49" s="74">
        <f t="shared" si="10"/>
        <v>0.83333333333333337</v>
      </c>
      <c r="R49" s="74">
        <f t="shared" si="10"/>
        <v>0.83333333333333337</v>
      </c>
      <c r="S49" s="74">
        <f t="shared" si="10"/>
        <v>0.66666666666666663</v>
      </c>
      <c r="T49" s="74">
        <f t="shared" si="10"/>
        <v>0.66666666666666663</v>
      </c>
      <c r="U49" s="74">
        <f t="shared" si="10"/>
        <v>0.5</v>
      </c>
      <c r="V49" s="74">
        <f t="shared" si="10"/>
        <v>0.5</v>
      </c>
      <c r="W49" s="74">
        <f t="shared" si="10"/>
        <v>0.5</v>
      </c>
      <c r="X49" s="74">
        <f t="shared" si="10"/>
        <v>0.66666666666666663</v>
      </c>
      <c r="Y49" s="74">
        <f t="shared" si="10"/>
        <v>0.66666666666666663</v>
      </c>
      <c r="Z49" s="74">
        <f t="shared" si="10"/>
        <v>0.66666666666666663</v>
      </c>
      <c r="AA49" s="74">
        <f t="shared" si="10"/>
        <v>0.66666666666666663</v>
      </c>
      <c r="AB49" s="74">
        <f t="shared" si="10"/>
        <v>0.66666666666666663</v>
      </c>
      <c r="AC49" s="74">
        <f t="shared" si="10"/>
        <v>0.66666666666666663</v>
      </c>
      <c r="AD49" s="74">
        <f t="shared" si="10"/>
        <v>0.66666666666666663</v>
      </c>
      <c r="AE49" s="15"/>
      <c r="AF49" s="15"/>
      <c r="AG49" s="158" t="s">
        <v>2</v>
      </c>
      <c r="AH49" s="159"/>
      <c r="AI49" s="164" t="s">
        <v>50</v>
      </c>
      <c r="AJ49" s="222" t="s">
        <v>58</v>
      </c>
      <c r="AK49" s="164" t="s">
        <v>64</v>
      </c>
      <c r="AL49" s="222" t="s">
        <v>66</v>
      </c>
      <c r="AM49" s="167" t="s">
        <v>33</v>
      </c>
      <c r="AN49" s="147"/>
      <c r="AO49" s="3"/>
      <c r="AP49" s="1"/>
      <c r="AQ49" s="1"/>
    </row>
    <row r="50" spans="1:43" ht="27" customHeight="1" x14ac:dyDescent="0.3">
      <c r="A50" s="148" t="s">
        <v>68</v>
      </c>
      <c r="B50" s="149"/>
      <c r="C50" s="75">
        <f>COUNTIF(C9:C48,2)/COUNTA(C9:C48)*1</f>
        <v>0</v>
      </c>
      <c r="D50" s="75">
        <f t="shared" ref="D50:AD50" si="11">COUNTIF(D9:D48,2)/COUNTA(D9:D48)*1</f>
        <v>0</v>
      </c>
      <c r="E50" s="75">
        <f t="shared" si="11"/>
        <v>0</v>
      </c>
      <c r="F50" s="75">
        <f t="shared" si="11"/>
        <v>0</v>
      </c>
      <c r="G50" s="75">
        <f t="shared" si="11"/>
        <v>0</v>
      </c>
      <c r="H50" s="75">
        <f t="shared" si="11"/>
        <v>0</v>
      </c>
      <c r="I50" s="75">
        <f t="shared" si="11"/>
        <v>0</v>
      </c>
      <c r="J50" s="75">
        <f t="shared" si="11"/>
        <v>0</v>
      </c>
      <c r="K50" s="75">
        <f t="shared" si="11"/>
        <v>0</v>
      </c>
      <c r="L50" s="75">
        <f t="shared" si="11"/>
        <v>0</v>
      </c>
      <c r="M50" s="75">
        <f t="shared" si="11"/>
        <v>0</v>
      </c>
      <c r="N50" s="75">
        <f t="shared" si="11"/>
        <v>0</v>
      </c>
      <c r="O50" s="75">
        <f t="shared" si="11"/>
        <v>0</v>
      </c>
      <c r="P50" s="75">
        <f t="shared" si="11"/>
        <v>0</v>
      </c>
      <c r="Q50" s="75">
        <f t="shared" si="11"/>
        <v>0</v>
      </c>
      <c r="R50" s="75">
        <f t="shared" si="11"/>
        <v>0</v>
      </c>
      <c r="S50" s="75">
        <f t="shared" si="11"/>
        <v>0</v>
      </c>
      <c r="T50" s="75">
        <f t="shared" si="11"/>
        <v>0</v>
      </c>
      <c r="U50" s="75">
        <f t="shared" si="11"/>
        <v>0</v>
      </c>
      <c r="V50" s="75">
        <f t="shared" si="11"/>
        <v>0</v>
      </c>
      <c r="W50" s="75">
        <f t="shared" si="11"/>
        <v>0</v>
      </c>
      <c r="X50" s="75">
        <f t="shared" si="11"/>
        <v>0</v>
      </c>
      <c r="Y50" s="75">
        <f t="shared" si="11"/>
        <v>0</v>
      </c>
      <c r="Z50" s="75">
        <f t="shared" si="11"/>
        <v>0</v>
      </c>
      <c r="AA50" s="75">
        <f t="shared" si="11"/>
        <v>0</v>
      </c>
      <c r="AB50" s="75">
        <f t="shared" si="11"/>
        <v>0</v>
      </c>
      <c r="AC50" s="75">
        <f t="shared" si="11"/>
        <v>0</v>
      </c>
      <c r="AD50" s="75">
        <f t="shared" si="11"/>
        <v>0</v>
      </c>
      <c r="AE50" s="15"/>
      <c r="AF50" s="15"/>
      <c r="AG50" s="160"/>
      <c r="AH50" s="161"/>
      <c r="AI50" s="165"/>
      <c r="AJ50" s="223"/>
      <c r="AK50" s="165"/>
      <c r="AL50" s="223"/>
      <c r="AM50" s="168"/>
      <c r="AN50" s="147"/>
      <c r="AO50" s="3"/>
      <c r="AP50" s="1"/>
      <c r="AQ50" s="1"/>
    </row>
    <row r="51" spans="1:43" ht="26.25" customHeight="1" thickBot="1" x14ac:dyDescent="0.35">
      <c r="A51" s="150" t="s">
        <v>7</v>
      </c>
      <c r="B51" s="151"/>
      <c r="C51" s="76">
        <f>COUNTIF(C8:C47,1)/COUNTA(C8:C47)*1</f>
        <v>0.33333333333333331</v>
      </c>
      <c r="D51" s="76">
        <f t="shared" ref="D51:AD51" si="12">COUNTIF(D8:D47,1)/COUNTA(D8:D47)*1</f>
        <v>0.16666666666666666</v>
      </c>
      <c r="E51" s="76">
        <f t="shared" si="12"/>
        <v>0.33333333333333331</v>
      </c>
      <c r="F51" s="76">
        <f t="shared" si="12"/>
        <v>0.16666666666666666</v>
      </c>
      <c r="G51" s="76">
        <f t="shared" si="12"/>
        <v>0.33333333333333331</v>
      </c>
      <c r="H51" s="76">
        <f t="shared" si="12"/>
        <v>0.16666666666666666</v>
      </c>
      <c r="I51" s="76">
        <f t="shared" si="12"/>
        <v>0.16666666666666666</v>
      </c>
      <c r="J51" s="76">
        <f t="shared" si="12"/>
        <v>0.5</v>
      </c>
      <c r="K51" s="76">
        <f t="shared" si="12"/>
        <v>0.33333333333333331</v>
      </c>
      <c r="L51" s="76">
        <f t="shared" si="12"/>
        <v>0.16666666666666666</v>
      </c>
      <c r="M51" s="76">
        <f t="shared" si="12"/>
        <v>0.33333333333333331</v>
      </c>
      <c r="N51" s="76">
        <f t="shared" si="12"/>
        <v>0.16666666666666666</v>
      </c>
      <c r="O51" s="76">
        <f t="shared" si="12"/>
        <v>0.16666666666666666</v>
      </c>
      <c r="P51" s="76">
        <f t="shared" si="12"/>
        <v>0.16666666666666666</v>
      </c>
      <c r="Q51" s="76">
        <f t="shared" si="12"/>
        <v>0.16666666666666666</v>
      </c>
      <c r="R51" s="76">
        <f t="shared" si="12"/>
        <v>0.16666666666666666</v>
      </c>
      <c r="S51" s="76">
        <f t="shared" si="12"/>
        <v>0.33333333333333331</v>
      </c>
      <c r="T51" s="76">
        <f t="shared" si="12"/>
        <v>0.33333333333333331</v>
      </c>
      <c r="U51" s="76">
        <f t="shared" si="12"/>
        <v>0.5</v>
      </c>
      <c r="V51" s="76">
        <f t="shared" si="12"/>
        <v>0.5</v>
      </c>
      <c r="W51" s="76">
        <f t="shared" si="12"/>
        <v>0.5</v>
      </c>
      <c r="X51" s="76">
        <f t="shared" si="12"/>
        <v>0.33333333333333331</v>
      </c>
      <c r="Y51" s="76">
        <f t="shared" si="12"/>
        <v>0.33333333333333331</v>
      </c>
      <c r="Z51" s="76">
        <f t="shared" si="12"/>
        <v>0.33333333333333331</v>
      </c>
      <c r="AA51" s="76">
        <f t="shared" si="12"/>
        <v>0.33333333333333331</v>
      </c>
      <c r="AB51" s="76">
        <f t="shared" si="12"/>
        <v>0.33333333333333331</v>
      </c>
      <c r="AC51" s="76">
        <f t="shared" si="12"/>
        <v>0.33333333333333331</v>
      </c>
      <c r="AD51" s="76">
        <f t="shared" si="12"/>
        <v>0.33333333333333331</v>
      </c>
      <c r="AE51" s="15"/>
      <c r="AF51" s="15"/>
      <c r="AG51" s="162"/>
      <c r="AH51" s="163"/>
      <c r="AI51" s="166"/>
      <c r="AJ51" s="224"/>
      <c r="AK51" s="166"/>
      <c r="AL51" s="224"/>
      <c r="AM51" s="169"/>
      <c r="AN51" s="147"/>
      <c r="AO51" s="3"/>
      <c r="AP51" s="1"/>
      <c r="AQ51" s="1"/>
    </row>
    <row r="52" spans="1:43" ht="20.100000000000001" customHeight="1" thickBot="1" x14ac:dyDescent="0.35">
      <c r="A52" s="152" t="s">
        <v>8</v>
      </c>
      <c r="B52" s="153"/>
      <c r="C52" s="77">
        <f>COUNTIF(C8:C47,0)/COUNTA(C8:C47)*1</f>
        <v>0</v>
      </c>
      <c r="D52" s="77">
        <f t="shared" ref="D52:AD52" si="13">COUNTIF(D8:D47,0)/COUNTA(D8:D47)*1</f>
        <v>0</v>
      </c>
      <c r="E52" s="77">
        <f t="shared" si="13"/>
        <v>0</v>
      </c>
      <c r="F52" s="77">
        <f t="shared" si="13"/>
        <v>0</v>
      </c>
      <c r="G52" s="77">
        <f t="shared" si="13"/>
        <v>0</v>
      </c>
      <c r="H52" s="77">
        <f t="shared" si="13"/>
        <v>0.16666666666666666</v>
      </c>
      <c r="I52" s="77">
        <f t="shared" si="13"/>
        <v>0.16666666666666666</v>
      </c>
      <c r="J52" s="77">
        <f t="shared" si="13"/>
        <v>0</v>
      </c>
      <c r="K52" s="77">
        <f t="shared" si="13"/>
        <v>0</v>
      </c>
      <c r="L52" s="77">
        <f t="shared" si="13"/>
        <v>0</v>
      </c>
      <c r="M52" s="77">
        <f t="shared" si="13"/>
        <v>0</v>
      </c>
      <c r="N52" s="77">
        <f t="shared" si="13"/>
        <v>0</v>
      </c>
      <c r="O52" s="77">
        <f t="shared" si="13"/>
        <v>0</v>
      </c>
      <c r="P52" s="77">
        <f t="shared" si="13"/>
        <v>0</v>
      </c>
      <c r="Q52" s="77">
        <f t="shared" si="13"/>
        <v>0</v>
      </c>
      <c r="R52" s="77">
        <f t="shared" si="13"/>
        <v>0</v>
      </c>
      <c r="S52" s="77">
        <f t="shared" si="13"/>
        <v>0</v>
      </c>
      <c r="T52" s="77">
        <f t="shared" si="13"/>
        <v>0</v>
      </c>
      <c r="U52" s="77">
        <f t="shared" si="13"/>
        <v>0</v>
      </c>
      <c r="V52" s="77">
        <f t="shared" si="13"/>
        <v>0</v>
      </c>
      <c r="W52" s="77">
        <f t="shared" si="13"/>
        <v>0</v>
      </c>
      <c r="X52" s="77">
        <f t="shared" si="13"/>
        <v>0</v>
      </c>
      <c r="Y52" s="77">
        <f t="shared" si="13"/>
        <v>0</v>
      </c>
      <c r="Z52" s="77">
        <f t="shared" si="13"/>
        <v>0</v>
      </c>
      <c r="AA52" s="77">
        <f t="shared" si="13"/>
        <v>0</v>
      </c>
      <c r="AB52" s="77">
        <f t="shared" si="13"/>
        <v>0</v>
      </c>
      <c r="AC52" s="77">
        <f t="shared" si="13"/>
        <v>0</v>
      </c>
      <c r="AD52" s="77">
        <f t="shared" si="13"/>
        <v>0</v>
      </c>
      <c r="AE52" s="15"/>
      <c r="AF52" s="15"/>
      <c r="AG52" s="154" t="s">
        <v>34</v>
      </c>
      <c r="AH52" s="155"/>
      <c r="AI52" s="79">
        <f>COUNTIFS(AI8:AI47,"Logrado")</f>
        <v>3</v>
      </c>
      <c r="AJ52" s="79">
        <f t="shared" ref="AJ52:AM52" si="14">COUNTIFS(AJ8:AJ47,"Logrado")</f>
        <v>4</v>
      </c>
      <c r="AK52" s="79">
        <f t="shared" si="14"/>
        <v>3</v>
      </c>
      <c r="AL52" s="79">
        <f t="shared" si="14"/>
        <v>4</v>
      </c>
      <c r="AM52" s="79">
        <f t="shared" si="14"/>
        <v>3</v>
      </c>
      <c r="AN52" s="1"/>
      <c r="AO52" s="1"/>
      <c r="AP52" s="1"/>
      <c r="AQ52" s="1"/>
    </row>
    <row r="53" spans="1:43" ht="20.100000000000001" customHeight="1" thickBot="1" x14ac:dyDescent="0.35">
      <c r="A53" s="187" t="s">
        <v>35</v>
      </c>
      <c r="B53" s="188"/>
      <c r="C53" s="78">
        <f>SUM(C49:C52)</f>
        <v>1</v>
      </c>
      <c r="D53" s="78">
        <f t="shared" ref="D53:AD53" si="15">SUM(D49:D52)</f>
        <v>1</v>
      </c>
      <c r="E53" s="78">
        <f t="shared" si="15"/>
        <v>1</v>
      </c>
      <c r="F53" s="78">
        <f t="shared" si="15"/>
        <v>1</v>
      </c>
      <c r="G53" s="78">
        <f t="shared" si="15"/>
        <v>1</v>
      </c>
      <c r="H53" s="78">
        <f t="shared" si="15"/>
        <v>0.99999999999999989</v>
      </c>
      <c r="I53" s="78">
        <f t="shared" si="15"/>
        <v>0.99999999999999989</v>
      </c>
      <c r="J53" s="78">
        <f t="shared" si="15"/>
        <v>1</v>
      </c>
      <c r="K53" s="78">
        <f t="shared" si="15"/>
        <v>0.83333333333333326</v>
      </c>
      <c r="L53" s="78">
        <f t="shared" si="15"/>
        <v>1</v>
      </c>
      <c r="M53" s="78">
        <f t="shared" si="15"/>
        <v>1</v>
      </c>
      <c r="N53" s="78">
        <f t="shared" si="15"/>
        <v>1</v>
      </c>
      <c r="O53" s="78">
        <f t="shared" si="15"/>
        <v>1</v>
      </c>
      <c r="P53" s="78">
        <f t="shared" si="15"/>
        <v>1</v>
      </c>
      <c r="Q53" s="78">
        <f t="shared" si="15"/>
        <v>1</v>
      </c>
      <c r="R53" s="78">
        <f t="shared" si="15"/>
        <v>1</v>
      </c>
      <c r="S53" s="78">
        <f t="shared" si="15"/>
        <v>1</v>
      </c>
      <c r="T53" s="78">
        <f t="shared" si="15"/>
        <v>1</v>
      </c>
      <c r="U53" s="78">
        <f t="shared" si="15"/>
        <v>1</v>
      </c>
      <c r="V53" s="78">
        <f t="shared" si="15"/>
        <v>1</v>
      </c>
      <c r="W53" s="78">
        <f t="shared" si="15"/>
        <v>1</v>
      </c>
      <c r="X53" s="78">
        <f t="shared" si="15"/>
        <v>1</v>
      </c>
      <c r="Y53" s="78">
        <f t="shared" si="15"/>
        <v>1</v>
      </c>
      <c r="Z53" s="78">
        <f t="shared" si="15"/>
        <v>1</v>
      </c>
      <c r="AA53" s="78">
        <f t="shared" si="15"/>
        <v>1</v>
      </c>
      <c r="AB53" s="78">
        <f t="shared" si="15"/>
        <v>1</v>
      </c>
      <c r="AC53" s="78">
        <f t="shared" si="15"/>
        <v>1</v>
      </c>
      <c r="AD53" s="78">
        <f t="shared" si="15"/>
        <v>1</v>
      </c>
      <c r="AE53" s="15"/>
      <c r="AF53" s="15"/>
      <c r="AG53" s="189" t="s">
        <v>36</v>
      </c>
      <c r="AH53" s="190"/>
      <c r="AI53" s="80">
        <f>COUNTIFS(AI8:AI47,"Proceso")</f>
        <v>1</v>
      </c>
      <c r="AJ53" s="80">
        <f t="shared" ref="AJ53:AM53" si="16">COUNTIFS(AJ8:AJ47,"Proceso")</f>
        <v>1</v>
      </c>
      <c r="AK53" s="80">
        <f t="shared" si="16"/>
        <v>0</v>
      </c>
      <c r="AL53" s="80">
        <f t="shared" si="16"/>
        <v>0</v>
      </c>
      <c r="AM53" s="80">
        <f t="shared" si="16"/>
        <v>1</v>
      </c>
      <c r="AN53" s="1"/>
      <c r="AO53" s="1"/>
      <c r="AP53" s="1"/>
      <c r="AQ53" s="1"/>
    </row>
    <row r="54" spans="1:43" ht="20.100000000000001" customHeight="1" x14ac:dyDescent="0.3">
      <c r="A54" s="50"/>
      <c r="B54" s="50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15"/>
      <c r="AF54" s="15"/>
      <c r="AG54" s="179" t="s">
        <v>37</v>
      </c>
      <c r="AH54" s="180"/>
      <c r="AI54" s="80">
        <f>COUNTIFS(AI8:AI47,"Inicio")</f>
        <v>1</v>
      </c>
      <c r="AJ54" s="80">
        <f t="shared" ref="AJ54:AM54" si="17">COUNTIFS(AJ8:AJ47,"Inicio")</f>
        <v>0</v>
      </c>
      <c r="AK54" s="80">
        <f t="shared" si="17"/>
        <v>1</v>
      </c>
      <c r="AL54" s="80">
        <f t="shared" si="17"/>
        <v>0</v>
      </c>
      <c r="AM54" s="80">
        <f t="shared" si="17"/>
        <v>1</v>
      </c>
      <c r="AN54" s="1"/>
      <c r="AO54" s="1"/>
      <c r="AP54" s="1"/>
      <c r="AQ54" s="1"/>
    </row>
    <row r="55" spans="1:43" ht="20.100000000000001" customHeight="1" thickBot="1" x14ac:dyDescent="0.35">
      <c r="A55" s="50"/>
      <c r="B55" s="50"/>
      <c r="C55" s="94"/>
      <c r="D55" s="9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28" t="s">
        <v>38</v>
      </c>
      <c r="AH55" s="229"/>
      <c r="AI55" s="95">
        <f>COUNTIFS(AI8:AI47,"Previo al inicio")</f>
        <v>1</v>
      </c>
      <c r="AJ55" s="95">
        <f t="shared" ref="AJ55:AM55" si="18">COUNTIFS(AJ8:AJ47,"Previo al inicio")</f>
        <v>1</v>
      </c>
      <c r="AK55" s="95">
        <f t="shared" si="18"/>
        <v>2</v>
      </c>
      <c r="AL55" s="95">
        <f t="shared" si="18"/>
        <v>2</v>
      </c>
      <c r="AM55" s="95">
        <f t="shared" si="18"/>
        <v>1</v>
      </c>
      <c r="AN55" s="1"/>
      <c r="AO55" s="1"/>
      <c r="AP55" s="1"/>
      <c r="AQ55" s="1"/>
    </row>
    <row r="56" spans="1:43" ht="34.5" customHeight="1" thickBot="1" x14ac:dyDescent="0.35">
      <c r="A56" s="181" t="s">
        <v>39</v>
      </c>
      <c r="B56" s="182"/>
      <c r="C56" s="82" t="str">
        <f t="shared" ref="C56:AD56" si="19">IF(COUNTIF(C8:C47,3)/COUNTA(C8:C47)&lt;=0.25,"Previo al inicio",
   IF(COUNTIF(C8:C47,3)/COUNTA(C8:C47)&lt;=0.5,"Inicio",
   IF(COUNTIF(C8:C47,3)/COUNTA(C8:C47)&lt;=0.75,"Proceso",
   "Logrado")))</f>
        <v>Proceso</v>
      </c>
      <c r="D56" s="83" t="str">
        <f t="shared" si="19"/>
        <v>Logrado</v>
      </c>
      <c r="E56" s="83" t="str">
        <f t="shared" si="19"/>
        <v>Proceso</v>
      </c>
      <c r="F56" s="83" t="str">
        <f t="shared" si="19"/>
        <v>Logrado</v>
      </c>
      <c r="G56" s="83" t="str">
        <f t="shared" si="19"/>
        <v>Proceso</v>
      </c>
      <c r="H56" s="83" t="str">
        <f t="shared" si="19"/>
        <v>Proceso</v>
      </c>
      <c r="I56" s="83" t="str">
        <f t="shared" si="19"/>
        <v>Proceso</v>
      </c>
      <c r="J56" s="83" t="str">
        <f t="shared" si="19"/>
        <v>Inicio</v>
      </c>
      <c r="K56" s="83" t="str">
        <f t="shared" si="19"/>
        <v>Inicio</v>
      </c>
      <c r="L56" s="83" t="str">
        <f t="shared" si="19"/>
        <v>Logrado</v>
      </c>
      <c r="M56" s="83" t="str">
        <f t="shared" si="19"/>
        <v>Proceso</v>
      </c>
      <c r="N56" s="83" t="str">
        <f t="shared" si="19"/>
        <v>Logrado</v>
      </c>
      <c r="O56" s="83" t="str">
        <f t="shared" si="19"/>
        <v>Logrado</v>
      </c>
      <c r="P56" s="83" t="str">
        <f t="shared" si="19"/>
        <v>Logrado</v>
      </c>
      <c r="Q56" s="83" t="str">
        <f t="shared" si="19"/>
        <v>Logrado</v>
      </c>
      <c r="R56" s="83" t="str">
        <f t="shared" si="19"/>
        <v>Logrado</v>
      </c>
      <c r="S56" s="83" t="str">
        <f t="shared" si="19"/>
        <v>Proceso</v>
      </c>
      <c r="T56" s="83" t="str">
        <f t="shared" si="19"/>
        <v>Proceso</v>
      </c>
      <c r="U56" s="83" t="str">
        <f t="shared" si="19"/>
        <v>Inicio</v>
      </c>
      <c r="V56" s="83" t="str">
        <f t="shared" si="19"/>
        <v>Inicio</v>
      </c>
      <c r="W56" s="83" t="str">
        <f t="shared" si="19"/>
        <v>Inicio</v>
      </c>
      <c r="X56" s="83" t="str">
        <f t="shared" si="19"/>
        <v>Proceso</v>
      </c>
      <c r="Y56" s="83" t="str">
        <f t="shared" si="19"/>
        <v>Proceso</v>
      </c>
      <c r="Z56" s="83" t="str">
        <f t="shared" si="19"/>
        <v>Proceso</v>
      </c>
      <c r="AA56" s="83" t="str">
        <f t="shared" si="19"/>
        <v>Proceso</v>
      </c>
      <c r="AB56" s="83" t="str">
        <f t="shared" si="19"/>
        <v>Proceso</v>
      </c>
      <c r="AC56" s="83" t="str">
        <f t="shared" si="19"/>
        <v>Proceso</v>
      </c>
      <c r="AD56" s="84" t="str">
        <f t="shared" si="19"/>
        <v>Proceso</v>
      </c>
      <c r="AE56" s="15"/>
      <c r="AF56" s="15"/>
      <c r="AG56" s="183" t="s">
        <v>40</v>
      </c>
      <c r="AH56" s="184"/>
      <c r="AI56" s="96">
        <f>SUM(AI52:AI55)</f>
        <v>6</v>
      </c>
      <c r="AJ56" s="96">
        <f t="shared" ref="AJ56:AM56" si="20">SUM(AJ52:AJ55)</f>
        <v>6</v>
      </c>
      <c r="AK56" s="96">
        <f t="shared" si="20"/>
        <v>6</v>
      </c>
      <c r="AL56" s="96">
        <f t="shared" si="20"/>
        <v>6</v>
      </c>
      <c r="AM56" s="96">
        <f t="shared" si="20"/>
        <v>6</v>
      </c>
      <c r="AN56" s="1"/>
      <c r="AO56" s="1"/>
      <c r="AP56" s="1"/>
      <c r="AQ56" s="1"/>
    </row>
    <row r="57" spans="1:43" ht="25.5" customHeight="1" thickBot="1" x14ac:dyDescent="0.35">
      <c r="A57" s="185" t="s">
        <v>41</v>
      </c>
      <c r="B57" s="230"/>
      <c r="C57" s="231" t="str">
        <f>IF(SUM(C49:M49)&lt;=275%,"Previo al inicio",
   IF(SUM(C49:M49)&lt;=550%,"Inicio",
   IF(SUM(C49:M49)&lt;=825%,"Proceso",
   "Logrado")))</f>
        <v>Proceso</v>
      </c>
      <c r="D57" s="232"/>
      <c r="E57" s="232"/>
      <c r="F57" s="232"/>
      <c r="G57" s="232"/>
      <c r="H57" s="232"/>
      <c r="I57" s="232"/>
      <c r="J57" s="232"/>
      <c r="K57" s="232"/>
      <c r="L57" s="232"/>
      <c r="M57" s="233"/>
      <c r="N57" s="231" t="str">
        <f>IF(SUM(N49:T49)&lt;=175%,"Previo al inicio",
   IF(SUM(N49:T49)&lt;=350%,"Inicio",
   IF(SUM(N49:T49)&lt;=525%,"Proceso",
   "Logrado")))</f>
        <v>Logrado</v>
      </c>
      <c r="O57" s="232"/>
      <c r="P57" s="232"/>
      <c r="Q57" s="232"/>
      <c r="R57" s="232"/>
      <c r="S57" s="232"/>
      <c r="T57" s="232"/>
      <c r="U57" s="231" t="str">
        <f>IF(SUM(U49:Z49)&lt;=150%,"Previo al inicio",
   IF(SUM(U49:Z49)&lt;=300%,"Inicio",
   IF(SUM(U49:Z49)&lt;=450%,"Proceso",
   "Logrado")))</f>
        <v>Proceso</v>
      </c>
      <c r="V57" s="232"/>
      <c r="W57" s="232"/>
      <c r="X57" s="232"/>
      <c r="Y57" s="232"/>
      <c r="Z57" s="232"/>
      <c r="AA57" s="231" t="str">
        <f>IF(SUM(AA49:AD49)&lt;=100%,"Previo al inicio",
   IF(SUM(AA49:AD49)&lt;=200%,"Inicio",
   IF(SUM(AA49:AD49)&lt;=300%,"Proceso",
   "Logrado")))</f>
        <v>Proceso</v>
      </c>
      <c r="AB57" s="232"/>
      <c r="AC57" s="232"/>
      <c r="AD57" s="233"/>
      <c r="AE57" s="52"/>
      <c r="AF57" s="52"/>
      <c r="AG57" s="52"/>
      <c r="AH57" s="15"/>
      <c r="AI57" s="15"/>
      <c r="AJ57" s="15"/>
      <c r="AK57" s="15"/>
      <c r="AL57" s="15"/>
      <c r="AM57" s="15"/>
      <c r="AN57" s="1"/>
      <c r="AO57" s="1"/>
      <c r="AP57" s="1"/>
      <c r="AQ57" s="1"/>
    </row>
    <row r="58" spans="1:43" ht="15.6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"/>
      <c r="AO58" s="1"/>
      <c r="AP58" s="1"/>
      <c r="AQ58" s="1"/>
    </row>
    <row r="59" spans="1:43" ht="16.2" thickBot="1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"/>
      <c r="AO59" s="1"/>
      <c r="AP59" s="1"/>
      <c r="AQ59" s="1"/>
    </row>
    <row r="60" spans="1:43" ht="16.2" thickBot="1" x14ac:dyDescent="0.35">
      <c r="A60" s="15"/>
      <c r="B60" s="170" t="s">
        <v>42</v>
      </c>
      <c r="C60" s="171"/>
      <c r="D60" s="172"/>
      <c r="E60" s="53"/>
      <c r="F60" s="54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"/>
      <c r="AO60" s="1"/>
      <c r="AP60" s="1"/>
      <c r="AQ60" s="1"/>
    </row>
    <row r="61" spans="1:43" ht="15.6" x14ac:dyDescent="0.3">
      <c r="A61" s="15"/>
      <c r="B61" s="55" t="s">
        <v>6</v>
      </c>
      <c r="C61" s="56" t="s">
        <v>43</v>
      </c>
      <c r="D61" s="40">
        <v>3</v>
      </c>
      <c r="E61" s="57"/>
      <c r="F61" s="57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"/>
      <c r="AO61" s="1"/>
      <c r="AP61" s="1"/>
      <c r="AQ61" s="1"/>
    </row>
    <row r="62" spans="1:43" ht="15.6" x14ac:dyDescent="0.3">
      <c r="A62" s="1"/>
      <c r="B62" s="13" t="s">
        <v>68</v>
      </c>
      <c r="C62" s="14" t="s">
        <v>69</v>
      </c>
      <c r="D62" s="8">
        <v>2</v>
      </c>
      <c r="E62" s="6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5.6" x14ac:dyDescent="0.3">
      <c r="A63" s="1"/>
      <c r="B63" s="9" t="s">
        <v>7</v>
      </c>
      <c r="C63" s="11" t="s">
        <v>44</v>
      </c>
      <c r="D63" s="7">
        <v>1</v>
      </c>
      <c r="E63" s="6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6.2" thickBot="1" x14ac:dyDescent="0.35">
      <c r="A64" s="1"/>
      <c r="B64" s="10" t="s">
        <v>8</v>
      </c>
      <c r="C64" s="12" t="s">
        <v>45</v>
      </c>
      <c r="D64" s="8">
        <v>0</v>
      </c>
      <c r="E64" s="6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</sheetData>
  <sheetProtection algorithmName="SHA-512" hashValue="gshFyJFJeGqooOaQTnlNuxnYmkAkZoYW6vJvlwXR51SY+1XyfDTDI52SO98emLb9M4oswbH1YDWA5CxfCBYISQ==" saltValue="N0i0uOzY2pwxQM9X17p3mg==" spinCount="100000" sheet="1" objects="1" scenarios="1"/>
  <mergeCells count="45">
    <mergeCell ref="B60:D60"/>
    <mergeCell ref="AG54:AH54"/>
    <mergeCell ref="AG55:AH55"/>
    <mergeCell ref="A56:B56"/>
    <mergeCell ref="AG56:AH56"/>
    <mergeCell ref="A57:B57"/>
    <mergeCell ref="C57:M57"/>
    <mergeCell ref="N57:T57"/>
    <mergeCell ref="U57:Z57"/>
    <mergeCell ref="AA57:AD57"/>
    <mergeCell ref="AN49:AN51"/>
    <mergeCell ref="A50:B50"/>
    <mergeCell ref="A51:B51"/>
    <mergeCell ref="A52:B52"/>
    <mergeCell ref="AG52:AH52"/>
    <mergeCell ref="AJ6:AJ7"/>
    <mergeCell ref="AK6:AK7"/>
    <mergeCell ref="AL6:AL7"/>
    <mergeCell ref="A53:B53"/>
    <mergeCell ref="AG53:AH53"/>
    <mergeCell ref="A48:B48"/>
    <mergeCell ref="AG48:AM48"/>
    <mergeCell ref="A49:B49"/>
    <mergeCell ref="AG49:AH51"/>
    <mergeCell ref="AI49:AI51"/>
    <mergeCell ref="AJ49:AJ51"/>
    <mergeCell ref="AK49:AK51"/>
    <mergeCell ref="AL49:AL51"/>
    <mergeCell ref="AM49:AM51"/>
    <mergeCell ref="A1:AM1"/>
    <mergeCell ref="A3:B3"/>
    <mergeCell ref="C3:AM3"/>
    <mergeCell ref="A5:A7"/>
    <mergeCell ref="C5:M5"/>
    <mergeCell ref="N5:T5"/>
    <mergeCell ref="U5:Z5"/>
    <mergeCell ref="AA5:AD5"/>
    <mergeCell ref="AE5:AH5"/>
    <mergeCell ref="AI5:AL5"/>
    <mergeCell ref="AM5:AM7"/>
    <mergeCell ref="AE6:AE7"/>
    <mergeCell ref="AF6:AF7"/>
    <mergeCell ref="AG6:AG7"/>
    <mergeCell ref="AH6:AH7"/>
    <mergeCell ref="AI6:AI7"/>
  </mergeCells>
  <conditionalFormatting sqref="AM8:AM47 C56:AD56">
    <cfRule type="expression" dxfId="11" priority="13">
      <formula>C8="Logrado"</formula>
    </cfRule>
    <cfRule type="expression" dxfId="10" priority="14">
      <formula>C8="Proceso"</formula>
    </cfRule>
    <cfRule type="expression" dxfId="9" priority="15">
      <formula>C8="Inicio"</formula>
    </cfRule>
    <cfRule type="expression" dxfId="8" priority="16">
      <formula>C8="Previo al Inicio"</formula>
    </cfRule>
  </conditionalFormatting>
  <conditionalFormatting sqref="AI8:AL47">
    <cfRule type="expression" dxfId="7" priority="9">
      <formula>AI8="Previo al inicio"</formula>
    </cfRule>
    <cfRule type="expression" dxfId="6" priority="10">
      <formula>AI8="Inicio"</formula>
    </cfRule>
    <cfRule type="expression" dxfId="5" priority="11">
      <formula>AI8="Proceso"</formula>
    </cfRule>
    <cfRule type="expression" dxfId="4" priority="12">
      <formula>AI8="Logrado"</formula>
    </cfRule>
  </conditionalFormatting>
  <conditionalFormatting sqref="C57 N57 U57 AA57">
    <cfRule type="expression" dxfId="3" priority="5">
      <formula>C57="Previo al inicio"</formula>
    </cfRule>
    <cfRule type="expression" dxfId="2" priority="6">
      <formula>C57="Inicio"</formula>
    </cfRule>
    <cfRule type="expression" dxfId="1" priority="7">
      <formula>C57="Proceso"</formula>
    </cfRule>
    <cfRule type="expression" dxfId="0" priority="8">
      <formula>C57="Logrado"</formula>
    </cfRule>
  </conditionalFormatting>
  <dataValidations count="1">
    <dataValidation type="list" showInputMessage="1" showErrorMessage="1" sqref="D61:D64 C8:AD47" xr:uid="{00000000-0002-0000-0500-000000000000}">
      <formula1>"0,1,2,3"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1F095E2C-4565-4EB6-81A1-7B0243196D73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E61:F62</xm:sqref>
        </x14:conditionalFormatting>
        <x14:conditionalFormatting xmlns:xm="http://schemas.microsoft.com/office/excel/2006/main">
          <x14:cfRule type="iconSet" priority="3" id="{21BF9CF8-18C0-4FD2-942A-5E78C79F0FC3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E63:F63</xm:sqref>
        </x14:conditionalFormatting>
        <x14:conditionalFormatting xmlns:xm="http://schemas.microsoft.com/office/excel/2006/main">
          <x14:cfRule type="iconSet" priority="2" id="{3F86F90A-7A0D-495E-B3DB-DC66499A9BD6}">
            <x14:iconSet iconSet="3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Symbols2" iconId="2"/>
            </x14:iconSet>
          </x14:cfRule>
          <xm:sqref>E64:F64</xm:sqref>
        </x14:conditionalFormatting>
        <x14:conditionalFormatting xmlns:xm="http://schemas.microsoft.com/office/excel/2006/main">
          <x14:cfRule type="iconSet" priority="1" id="{740C9DEF-178A-48BF-B508-2ECC7FA8F628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D61:D64</xm:sqref>
        </x14:conditionalFormatting>
        <x14:conditionalFormatting xmlns:xm="http://schemas.microsoft.com/office/excel/2006/main">
          <x14:cfRule type="iconSet" priority="222" id="{8D5B46C7-DCA8-43CC-9AD2-B0CE7D5F3DC8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C20:AD20 C26:AD26 C32:AD32 C38:AD38 C44:AD44 C8:AD14</xm:sqref>
        </x14:conditionalFormatting>
        <x14:conditionalFormatting xmlns:xm="http://schemas.microsoft.com/office/excel/2006/main">
          <x14:cfRule type="iconSet" priority="234" id="{2A32C26E-F105-462D-A99A-772A513D067B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C15:AD19</xm:sqref>
        </x14:conditionalFormatting>
        <x14:conditionalFormatting xmlns:xm="http://schemas.microsoft.com/office/excel/2006/main">
          <x14:cfRule type="iconSet" priority="236" id="{65B6F8C4-5C70-4371-ADF7-B8FDE9462E8F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C21:AD25</xm:sqref>
        </x14:conditionalFormatting>
        <x14:conditionalFormatting xmlns:xm="http://schemas.microsoft.com/office/excel/2006/main">
          <x14:cfRule type="iconSet" priority="238" id="{AC329000-55E1-467D-9A99-72A8CCA37D4B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C27:AD31</xm:sqref>
        </x14:conditionalFormatting>
        <x14:conditionalFormatting xmlns:xm="http://schemas.microsoft.com/office/excel/2006/main">
          <x14:cfRule type="iconSet" priority="240" id="{D5AEC838-703A-42F0-A84D-FDBF1ED05FCD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C33:AD37</xm:sqref>
        </x14:conditionalFormatting>
        <x14:conditionalFormatting xmlns:xm="http://schemas.microsoft.com/office/excel/2006/main">
          <x14:cfRule type="iconSet" priority="242" id="{435CD624-A234-424A-BCA9-5082356C07A2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C39:AD43</xm:sqref>
        </x14:conditionalFormatting>
        <x14:conditionalFormatting xmlns:xm="http://schemas.microsoft.com/office/excel/2006/main">
          <x14:cfRule type="iconSet" priority="244" id="{E6244378-52DE-4A4F-A40E-A41A92A42187}">
            <x14:iconSet iconSet="4Arrow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4RedToBlack" iconId="0"/>
              <x14:cfIcon iconSet="3Symbols2" iconId="0"/>
              <x14:cfIcon iconSet="3Triangles" iconId="1"/>
              <x14:cfIcon iconSet="3Symbols2" iconId="2"/>
            </x14:iconSet>
          </x14:cfRule>
          <xm:sqref>C45:AD47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1° MAT.</vt:lpstr>
      <vt:lpstr>2° MAT.</vt:lpstr>
      <vt:lpstr>3° MAT.</vt:lpstr>
      <vt:lpstr>4° MAT.</vt:lpstr>
      <vt:lpstr>5° MAT.</vt:lpstr>
      <vt:lpstr>6° MAT.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WILFREDO GARCIA QUISPE</cp:lastModifiedBy>
  <dcterms:created xsi:type="dcterms:W3CDTF">2025-03-15T21:47:37Z</dcterms:created>
  <dcterms:modified xsi:type="dcterms:W3CDTF">2026-03-30T23:05:58Z</dcterms:modified>
</cp:coreProperties>
</file>