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D:\2026\WILI ADOP. 2026\EV DIAG PRIMARIA DREH\PRIMARIA\COMUNICACIÓN CASTELLANO\"/>
    </mc:Choice>
  </mc:AlternateContent>
  <xr:revisionPtr revIDLastSave="0" documentId="13_ncr:1_{6DB47E8F-F6F9-48B8-B126-46E37B905B7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° COM." sheetId="1" r:id="rId1"/>
    <sheet name="2° COM." sheetId="2" r:id="rId2"/>
    <sheet name="3° COM." sheetId="24" r:id="rId3"/>
    <sheet name="4° COM." sheetId="25" r:id="rId4"/>
    <sheet name="5° COM." sheetId="26" r:id="rId5"/>
    <sheet name="6° COM." sheetId="2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31" roundtripDataChecksum="/zJ1PFCzI8hEP67zC9MmQtopXBgelEyn08FVeg2EZ04="/>
    </ext>
  </extLst>
</workbook>
</file>

<file path=xl/calcChain.xml><?xml version="1.0" encoding="utf-8"?>
<calcChain xmlns="http://schemas.openxmlformats.org/spreadsheetml/2006/main">
  <c r="AA60" i="27" l="1"/>
  <c r="Z60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Q57" i="27"/>
  <c r="O57" i="27"/>
  <c r="N57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AA53" i="27"/>
  <c r="Z53" i="27"/>
  <c r="Y53" i="27"/>
  <c r="Y57" i="27" s="1"/>
  <c r="X53" i="27"/>
  <c r="X57" i="27" s="1"/>
  <c r="W53" i="27"/>
  <c r="W61" i="27" s="1"/>
  <c r="V53" i="27"/>
  <c r="V57" i="27" s="1"/>
  <c r="U53" i="27"/>
  <c r="U57" i="27" s="1"/>
  <c r="T53" i="27"/>
  <c r="T57" i="27" s="1"/>
  <c r="S53" i="27"/>
  <c r="S57" i="27" s="1"/>
  <c r="R53" i="27"/>
  <c r="Q53" i="27"/>
  <c r="P53" i="27"/>
  <c r="P57" i="27" s="1"/>
  <c r="O53" i="27"/>
  <c r="N53" i="27"/>
  <c r="M53" i="27"/>
  <c r="M57" i="27" s="1"/>
  <c r="L53" i="27"/>
  <c r="L57" i="27" s="1"/>
  <c r="K53" i="27"/>
  <c r="J53" i="27"/>
  <c r="J57" i="27" s="1"/>
  <c r="I53" i="27"/>
  <c r="H53" i="27"/>
  <c r="H57" i="27" s="1"/>
  <c r="G53" i="27"/>
  <c r="F53" i="27"/>
  <c r="F57" i="27" s="1"/>
  <c r="E53" i="27"/>
  <c r="E57" i="27" s="1"/>
  <c r="D53" i="27"/>
  <c r="D57" i="27" s="1"/>
  <c r="C53" i="27"/>
  <c r="C61" i="27" s="1"/>
  <c r="AF51" i="27"/>
  <c r="AE51" i="27"/>
  <c r="AD51" i="27"/>
  <c r="AC51" i="27"/>
  <c r="AB51" i="27"/>
  <c r="AF50" i="27"/>
  <c r="AE50" i="27"/>
  <c r="AD50" i="27"/>
  <c r="AC50" i="27"/>
  <c r="AB50" i="27"/>
  <c r="AF49" i="27"/>
  <c r="AE49" i="27"/>
  <c r="AD49" i="27"/>
  <c r="AC49" i="27"/>
  <c r="AB49" i="27"/>
  <c r="AF48" i="27"/>
  <c r="AE48" i="27"/>
  <c r="AD48" i="27"/>
  <c r="AC48" i="27"/>
  <c r="AB48" i="27"/>
  <c r="AF47" i="27"/>
  <c r="AE47" i="27"/>
  <c r="AD47" i="27"/>
  <c r="AC47" i="27"/>
  <c r="AB47" i="27"/>
  <c r="AF46" i="27"/>
  <c r="AE46" i="27"/>
  <c r="AD46" i="27"/>
  <c r="AC46" i="27"/>
  <c r="AB46" i="27"/>
  <c r="AF45" i="27"/>
  <c r="AE45" i="27"/>
  <c r="AD45" i="27"/>
  <c r="AC45" i="27"/>
  <c r="AB45" i="27"/>
  <c r="AF44" i="27"/>
  <c r="AE44" i="27"/>
  <c r="AD44" i="27"/>
  <c r="AC44" i="27"/>
  <c r="AB44" i="27"/>
  <c r="AF43" i="27"/>
  <c r="AE43" i="27"/>
  <c r="AD43" i="27"/>
  <c r="AC43" i="27"/>
  <c r="AB43" i="27"/>
  <c r="AF42" i="27"/>
  <c r="AE42" i="27"/>
  <c r="AD42" i="27"/>
  <c r="AC42" i="27"/>
  <c r="AB42" i="27"/>
  <c r="AF41" i="27"/>
  <c r="AE41" i="27"/>
  <c r="AD41" i="27"/>
  <c r="AC41" i="27"/>
  <c r="AB41" i="27"/>
  <c r="AF40" i="27"/>
  <c r="AE40" i="27"/>
  <c r="AD40" i="27"/>
  <c r="AC40" i="27"/>
  <c r="AB40" i="27"/>
  <c r="AF39" i="27"/>
  <c r="AE39" i="27"/>
  <c r="AD39" i="27"/>
  <c r="AC39" i="27"/>
  <c r="AB39" i="27"/>
  <c r="AF38" i="27"/>
  <c r="AE38" i="27"/>
  <c r="AD38" i="27"/>
  <c r="AC38" i="27"/>
  <c r="AB38" i="27"/>
  <c r="AF37" i="27"/>
  <c r="AE37" i="27"/>
  <c r="AD37" i="27"/>
  <c r="AC37" i="27"/>
  <c r="AB37" i="27"/>
  <c r="AF36" i="27"/>
  <c r="AE36" i="27"/>
  <c r="AD36" i="27"/>
  <c r="AC36" i="27"/>
  <c r="AB36" i="27"/>
  <c r="AF35" i="27"/>
  <c r="AE35" i="27"/>
  <c r="AD35" i="27"/>
  <c r="AC35" i="27"/>
  <c r="AB35" i="27"/>
  <c r="AF34" i="27"/>
  <c r="AE34" i="27"/>
  <c r="AD34" i="27"/>
  <c r="AC34" i="27"/>
  <c r="AB34" i="27"/>
  <c r="AF33" i="27"/>
  <c r="AE33" i="27"/>
  <c r="AD33" i="27"/>
  <c r="AC33" i="27"/>
  <c r="AB33" i="27"/>
  <c r="AF32" i="27"/>
  <c r="AE32" i="27"/>
  <c r="AD32" i="27"/>
  <c r="AC32" i="27"/>
  <c r="AB32" i="27"/>
  <c r="AF31" i="27"/>
  <c r="AE31" i="27"/>
  <c r="AD31" i="27"/>
  <c r="AC31" i="27"/>
  <c r="AB31" i="27"/>
  <c r="AF30" i="27"/>
  <c r="AE30" i="27"/>
  <c r="AD30" i="27"/>
  <c r="AC30" i="27"/>
  <c r="AB30" i="27"/>
  <c r="AF29" i="27"/>
  <c r="AE29" i="27"/>
  <c r="AD29" i="27"/>
  <c r="AC29" i="27"/>
  <c r="AB29" i="27"/>
  <c r="AF28" i="27"/>
  <c r="AE28" i="27"/>
  <c r="AD28" i="27"/>
  <c r="AC28" i="27"/>
  <c r="AB28" i="27"/>
  <c r="AF27" i="27"/>
  <c r="AE27" i="27"/>
  <c r="AD27" i="27"/>
  <c r="AC27" i="27"/>
  <c r="AB27" i="27"/>
  <c r="AF26" i="27"/>
  <c r="AE26" i="27"/>
  <c r="AD26" i="27"/>
  <c r="AC26" i="27"/>
  <c r="AB26" i="27"/>
  <c r="AF25" i="27"/>
  <c r="AE25" i="27"/>
  <c r="AD25" i="27"/>
  <c r="AC25" i="27"/>
  <c r="AB25" i="27"/>
  <c r="AF24" i="27"/>
  <c r="AE24" i="27"/>
  <c r="AD24" i="27"/>
  <c r="AC24" i="27"/>
  <c r="AB24" i="27"/>
  <c r="AF23" i="27"/>
  <c r="AE23" i="27"/>
  <c r="AD23" i="27"/>
  <c r="AC23" i="27"/>
  <c r="AB23" i="27"/>
  <c r="AF22" i="27"/>
  <c r="AE22" i="27"/>
  <c r="AD22" i="27"/>
  <c r="AC22" i="27"/>
  <c r="AB22" i="27"/>
  <c r="AF21" i="27"/>
  <c r="AE21" i="27"/>
  <c r="AD21" i="27"/>
  <c r="AC21" i="27"/>
  <c r="AB21" i="27"/>
  <c r="AF20" i="27"/>
  <c r="AE20" i="27"/>
  <c r="AD20" i="27"/>
  <c r="AC20" i="27"/>
  <c r="AB20" i="27"/>
  <c r="AF19" i="27"/>
  <c r="AE19" i="27"/>
  <c r="AD19" i="27"/>
  <c r="AC19" i="27"/>
  <c r="AB19" i="27"/>
  <c r="AF18" i="27"/>
  <c r="AE18" i="27"/>
  <c r="AD18" i="27"/>
  <c r="AC18" i="27"/>
  <c r="AB18" i="27"/>
  <c r="AF17" i="27"/>
  <c r="AE17" i="27"/>
  <c r="AD17" i="27"/>
  <c r="AC17" i="27"/>
  <c r="AB17" i="27"/>
  <c r="AF16" i="27"/>
  <c r="AE16" i="27"/>
  <c r="AD16" i="27"/>
  <c r="AC16" i="27"/>
  <c r="AB16" i="27"/>
  <c r="AF15" i="27"/>
  <c r="AE15" i="27"/>
  <c r="AD15" i="27"/>
  <c r="AC15" i="27"/>
  <c r="AB15" i="27"/>
  <c r="AF14" i="27"/>
  <c r="AE14" i="27"/>
  <c r="AD14" i="27"/>
  <c r="AC14" i="27"/>
  <c r="AB14" i="27"/>
  <c r="AF13" i="27"/>
  <c r="AF59" i="27" s="1"/>
  <c r="AE13" i="27"/>
  <c r="AD13" i="27"/>
  <c r="AC13" i="27"/>
  <c r="AB13" i="27"/>
  <c r="AF12" i="27"/>
  <c r="AF58" i="27" s="1"/>
  <c r="AE12" i="27"/>
  <c r="AD12" i="27"/>
  <c r="AC12" i="27"/>
  <c r="AB12" i="27"/>
  <c r="R61" i="26"/>
  <c r="C61" i="26"/>
  <c r="AA60" i="26"/>
  <c r="Z60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Y57" i="26"/>
  <c r="W57" i="26"/>
  <c r="I57" i="26"/>
  <c r="G57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AA55" i="26"/>
  <c r="Z55" i="26"/>
  <c r="Y55" i="26"/>
  <c r="X55" i="26"/>
  <c r="W55" i="26"/>
  <c r="V55" i="26"/>
  <c r="V57" i="26" s="1"/>
  <c r="U55" i="26"/>
  <c r="T55" i="26"/>
  <c r="T57" i="26" s="1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F57" i="26" s="1"/>
  <c r="E55" i="26"/>
  <c r="D55" i="26"/>
  <c r="C55" i="26"/>
  <c r="AA54" i="26"/>
  <c r="Z54" i="26"/>
  <c r="Y54" i="26"/>
  <c r="X54" i="26"/>
  <c r="W54" i="26"/>
  <c r="V54" i="26"/>
  <c r="U54" i="26"/>
  <c r="T54" i="26"/>
  <c r="S54" i="26"/>
  <c r="S57" i="26" s="1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D57" i="26" s="1"/>
  <c r="C54" i="26"/>
  <c r="C57" i="26" s="1"/>
  <c r="AA53" i="26"/>
  <c r="AA57" i="26" s="1"/>
  <c r="Z53" i="26"/>
  <c r="Z57" i="26" s="1"/>
  <c r="Y53" i="26"/>
  <c r="X53" i="26"/>
  <c r="X57" i="26" s="1"/>
  <c r="W53" i="26"/>
  <c r="W61" i="26" s="1"/>
  <c r="V53" i="26"/>
  <c r="U53" i="26"/>
  <c r="U57" i="26" s="1"/>
  <c r="T53" i="26"/>
  <c r="S53" i="26"/>
  <c r="R53" i="26"/>
  <c r="R57" i="26" s="1"/>
  <c r="Q53" i="26"/>
  <c r="Q57" i="26" s="1"/>
  <c r="P53" i="26"/>
  <c r="P57" i="26" s="1"/>
  <c r="O53" i="26"/>
  <c r="O57" i="26" s="1"/>
  <c r="N53" i="26"/>
  <c r="N57" i="26" s="1"/>
  <c r="M53" i="26"/>
  <c r="M57" i="26" s="1"/>
  <c r="L53" i="26"/>
  <c r="L57" i="26" s="1"/>
  <c r="K53" i="26"/>
  <c r="K57" i="26" s="1"/>
  <c r="J53" i="26"/>
  <c r="J57" i="26" s="1"/>
  <c r="I53" i="26"/>
  <c r="H53" i="26"/>
  <c r="H61" i="26" s="1"/>
  <c r="G53" i="26"/>
  <c r="F53" i="26"/>
  <c r="E53" i="26"/>
  <c r="E57" i="26" s="1"/>
  <c r="D53" i="26"/>
  <c r="C53" i="26"/>
  <c r="AF51" i="26"/>
  <c r="AE51" i="26"/>
  <c r="AD51" i="26"/>
  <c r="AC51" i="26"/>
  <c r="AB51" i="26"/>
  <c r="AF50" i="26"/>
  <c r="AE50" i="26"/>
  <c r="AD50" i="26"/>
  <c r="AC50" i="26"/>
  <c r="AB50" i="26"/>
  <c r="AF49" i="26"/>
  <c r="AE49" i="26"/>
  <c r="AD49" i="26"/>
  <c r="AC49" i="26"/>
  <c r="AB49" i="26"/>
  <c r="AF48" i="26"/>
  <c r="AE48" i="26"/>
  <c r="AD48" i="26"/>
  <c r="AC48" i="26"/>
  <c r="AB48" i="26"/>
  <c r="AF47" i="26"/>
  <c r="AE47" i="26"/>
  <c r="AD47" i="26"/>
  <c r="AC47" i="26"/>
  <c r="AB47" i="26"/>
  <c r="AF46" i="26"/>
  <c r="AE46" i="26"/>
  <c r="AD46" i="26"/>
  <c r="AC46" i="26"/>
  <c r="AB46" i="26"/>
  <c r="AF45" i="26"/>
  <c r="AE45" i="26"/>
  <c r="AD45" i="26"/>
  <c r="AC45" i="26"/>
  <c r="AB45" i="26"/>
  <c r="AF44" i="26"/>
  <c r="AE44" i="26"/>
  <c r="AD44" i="26"/>
  <c r="AC44" i="26"/>
  <c r="AB44" i="26"/>
  <c r="AF43" i="26"/>
  <c r="AE43" i="26"/>
  <c r="AD43" i="26"/>
  <c r="AC43" i="26"/>
  <c r="AB43" i="26"/>
  <c r="AF42" i="26"/>
  <c r="AE42" i="26"/>
  <c r="AD42" i="26"/>
  <c r="AC42" i="26"/>
  <c r="AB42" i="26"/>
  <c r="AF41" i="26"/>
  <c r="AE41" i="26"/>
  <c r="AD41" i="26"/>
  <c r="AC41" i="26"/>
  <c r="AB41" i="26"/>
  <c r="AF40" i="26"/>
  <c r="AE40" i="26"/>
  <c r="AD40" i="26"/>
  <c r="AC40" i="26"/>
  <c r="AB40" i="26"/>
  <c r="AF39" i="26"/>
  <c r="AE39" i="26"/>
  <c r="AD39" i="26"/>
  <c r="AC39" i="26"/>
  <c r="AB39" i="26"/>
  <c r="AF38" i="26"/>
  <c r="AE38" i="26"/>
  <c r="AD38" i="26"/>
  <c r="AC38" i="26"/>
  <c r="AB38" i="26"/>
  <c r="AF37" i="26"/>
  <c r="AE37" i="26"/>
  <c r="AD37" i="26"/>
  <c r="AC37" i="26"/>
  <c r="AB37" i="26"/>
  <c r="AF36" i="26"/>
  <c r="AE36" i="26"/>
  <c r="AD36" i="26"/>
  <c r="AC36" i="26"/>
  <c r="AB36" i="26"/>
  <c r="AF35" i="26"/>
  <c r="AE35" i="26"/>
  <c r="AD35" i="26"/>
  <c r="AC35" i="26"/>
  <c r="AB35" i="26"/>
  <c r="AF34" i="26"/>
  <c r="AE34" i="26"/>
  <c r="AD34" i="26"/>
  <c r="AC34" i="26"/>
  <c r="AB34" i="26"/>
  <c r="AF33" i="26"/>
  <c r="AE33" i="26"/>
  <c r="AD33" i="26"/>
  <c r="AC33" i="26"/>
  <c r="AB33" i="26"/>
  <c r="AF32" i="26"/>
  <c r="AE32" i="26"/>
  <c r="AD32" i="26"/>
  <c r="AC32" i="26"/>
  <c r="AB32" i="26"/>
  <c r="AF31" i="26"/>
  <c r="AE31" i="26"/>
  <c r="AD31" i="26"/>
  <c r="AC31" i="26"/>
  <c r="AB31" i="26"/>
  <c r="AF30" i="26"/>
  <c r="AE30" i="26"/>
  <c r="AD30" i="26"/>
  <c r="AC30" i="26"/>
  <c r="AB30" i="26"/>
  <c r="AF29" i="26"/>
  <c r="AE29" i="26"/>
  <c r="AD29" i="26"/>
  <c r="AC29" i="26"/>
  <c r="AB29" i="26"/>
  <c r="AF28" i="26"/>
  <c r="AE28" i="26"/>
  <c r="AD28" i="26"/>
  <c r="AC28" i="26"/>
  <c r="AB28" i="26"/>
  <c r="AF27" i="26"/>
  <c r="AE27" i="26"/>
  <c r="AD27" i="26"/>
  <c r="AC27" i="26"/>
  <c r="AB27" i="26"/>
  <c r="AF26" i="26"/>
  <c r="AE26" i="26"/>
  <c r="AD26" i="26"/>
  <c r="AC26" i="26"/>
  <c r="AB26" i="26"/>
  <c r="AF25" i="26"/>
  <c r="AE25" i="26"/>
  <c r="AD25" i="26"/>
  <c r="AC25" i="26"/>
  <c r="AB25" i="26"/>
  <c r="AF24" i="26"/>
  <c r="AE24" i="26"/>
  <c r="AD24" i="26"/>
  <c r="AC24" i="26"/>
  <c r="AB24" i="26"/>
  <c r="AF23" i="26"/>
  <c r="AE23" i="26"/>
  <c r="AD23" i="26"/>
  <c r="AC23" i="26"/>
  <c r="AB23" i="26"/>
  <c r="AF22" i="26"/>
  <c r="AE22" i="26"/>
  <c r="AD22" i="26"/>
  <c r="AC22" i="26"/>
  <c r="AB22" i="26"/>
  <c r="AF21" i="26"/>
  <c r="AE21" i="26"/>
  <c r="AD21" i="26"/>
  <c r="AC21" i="26"/>
  <c r="AB21" i="26"/>
  <c r="AF20" i="26"/>
  <c r="AE20" i="26"/>
  <c r="AD20" i="26"/>
  <c r="AC20" i="26"/>
  <c r="AB20" i="26"/>
  <c r="AF19" i="26"/>
  <c r="AE19" i="26"/>
  <c r="AD19" i="26"/>
  <c r="AC19" i="26"/>
  <c r="AB19" i="26"/>
  <c r="AF18" i="26"/>
  <c r="AE18" i="26"/>
  <c r="AD18" i="26"/>
  <c r="AC18" i="26"/>
  <c r="AB18" i="26"/>
  <c r="AF17" i="26"/>
  <c r="AE17" i="26"/>
  <c r="AD17" i="26"/>
  <c r="AC17" i="26"/>
  <c r="AB17" i="26"/>
  <c r="AF16" i="26"/>
  <c r="AE16" i="26"/>
  <c r="AD16" i="26"/>
  <c r="AC16" i="26"/>
  <c r="AB16" i="26"/>
  <c r="AF15" i="26"/>
  <c r="AF57" i="26" s="1"/>
  <c r="AE15" i="26"/>
  <c r="AD15" i="26"/>
  <c r="AC15" i="26"/>
  <c r="AB15" i="26"/>
  <c r="AF14" i="26"/>
  <c r="AE14" i="26"/>
  <c r="AD14" i="26"/>
  <c r="AC14" i="26"/>
  <c r="AB14" i="26"/>
  <c r="AF13" i="26"/>
  <c r="AE13" i="26"/>
  <c r="AD13" i="26"/>
  <c r="AC13" i="26"/>
  <c r="AB13" i="26"/>
  <c r="AF12" i="26"/>
  <c r="AF56" i="26" s="1"/>
  <c r="AE12" i="26"/>
  <c r="AD12" i="26"/>
  <c r="AC12" i="26"/>
  <c r="AB12" i="26"/>
  <c r="Z60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AE59" i="25"/>
  <c r="Y57" i="25"/>
  <c r="R57" i="25"/>
  <c r="O57" i="25"/>
  <c r="M57" i="25"/>
  <c r="L57" i="25"/>
  <c r="I57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Z54" i="25"/>
  <c r="Y54" i="25"/>
  <c r="X54" i="25"/>
  <c r="W54" i="25"/>
  <c r="V54" i="25"/>
  <c r="V57" i="25" s="1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F57" i="25" s="1"/>
  <c r="E54" i="25"/>
  <c r="D54" i="25"/>
  <c r="C54" i="25"/>
  <c r="Z53" i="25"/>
  <c r="Z57" i="25" s="1"/>
  <c r="Y53" i="25"/>
  <c r="X53" i="25"/>
  <c r="X57" i="25" s="1"/>
  <c r="W53" i="25"/>
  <c r="W57" i="25" s="1"/>
  <c r="V53" i="25"/>
  <c r="V61" i="25" s="1"/>
  <c r="U53" i="25"/>
  <c r="U57" i="25" s="1"/>
  <c r="T53" i="25"/>
  <c r="T57" i="25" s="1"/>
  <c r="S53" i="25"/>
  <c r="S57" i="25" s="1"/>
  <c r="R53" i="25"/>
  <c r="Q53" i="25"/>
  <c r="Q61" i="25" s="1"/>
  <c r="P53" i="25"/>
  <c r="P57" i="25" s="1"/>
  <c r="O53" i="25"/>
  <c r="N53" i="25"/>
  <c r="L61" i="25" s="1"/>
  <c r="M53" i="25"/>
  <c r="L53" i="25"/>
  <c r="K53" i="25"/>
  <c r="K57" i="25" s="1"/>
  <c r="J53" i="25"/>
  <c r="J57" i="25" s="1"/>
  <c r="I53" i="25"/>
  <c r="H53" i="25"/>
  <c r="H57" i="25" s="1"/>
  <c r="G53" i="25"/>
  <c r="G61" i="25" s="1"/>
  <c r="F53" i="25"/>
  <c r="E53" i="25"/>
  <c r="E57" i="25" s="1"/>
  <c r="D53" i="25"/>
  <c r="D57" i="25" s="1"/>
  <c r="C53" i="25"/>
  <c r="C61" i="25" s="1"/>
  <c r="AE51" i="25"/>
  <c r="AD51" i="25"/>
  <c r="AC51" i="25"/>
  <c r="AB51" i="25"/>
  <c r="AA51" i="25"/>
  <c r="AE50" i="25"/>
  <c r="AD50" i="25"/>
  <c r="AC50" i="25"/>
  <c r="AB50" i="25"/>
  <c r="AA50" i="25"/>
  <c r="AE49" i="25"/>
  <c r="AD49" i="25"/>
  <c r="AC49" i="25"/>
  <c r="AB49" i="25"/>
  <c r="AA49" i="25"/>
  <c r="AE48" i="25"/>
  <c r="AD48" i="25"/>
  <c r="AC48" i="25"/>
  <c r="AB48" i="25"/>
  <c r="AA48" i="25"/>
  <c r="AE47" i="25"/>
  <c r="AD47" i="25"/>
  <c r="AC47" i="25"/>
  <c r="AB47" i="25"/>
  <c r="AA47" i="25"/>
  <c r="AE46" i="25"/>
  <c r="AD46" i="25"/>
  <c r="AC46" i="25"/>
  <c r="AB46" i="25"/>
  <c r="AA46" i="25"/>
  <c r="AE45" i="25"/>
  <c r="AD45" i="25"/>
  <c r="AC45" i="25"/>
  <c r="AB45" i="25"/>
  <c r="AA45" i="25"/>
  <c r="AE44" i="25"/>
  <c r="AD44" i="25"/>
  <c r="AC44" i="25"/>
  <c r="AB44" i="25"/>
  <c r="AA44" i="25"/>
  <c r="AE43" i="25"/>
  <c r="AD43" i="25"/>
  <c r="AC43" i="25"/>
  <c r="AB43" i="25"/>
  <c r="AA43" i="25"/>
  <c r="AE42" i="25"/>
  <c r="AD42" i="25"/>
  <c r="AC42" i="25"/>
  <c r="AB42" i="25"/>
  <c r="AA42" i="25"/>
  <c r="AE41" i="25"/>
  <c r="AD41" i="25"/>
  <c r="AC41" i="25"/>
  <c r="AB41" i="25"/>
  <c r="AA41" i="25"/>
  <c r="AE40" i="25"/>
  <c r="AD40" i="25"/>
  <c r="AC40" i="25"/>
  <c r="AB40" i="25"/>
  <c r="AA40" i="25"/>
  <c r="AE39" i="25"/>
  <c r="AD39" i="25"/>
  <c r="AC39" i="25"/>
  <c r="AB39" i="25"/>
  <c r="AA39" i="25"/>
  <c r="AE38" i="25"/>
  <c r="AD38" i="25"/>
  <c r="AC38" i="25"/>
  <c r="AB38" i="25"/>
  <c r="AA38" i="25"/>
  <c r="AE37" i="25"/>
  <c r="AD37" i="25"/>
  <c r="AC37" i="25"/>
  <c r="AB37" i="25"/>
  <c r="AA37" i="25"/>
  <c r="AE36" i="25"/>
  <c r="AD36" i="25"/>
  <c r="AC36" i="25"/>
  <c r="AB36" i="25"/>
  <c r="AA36" i="25"/>
  <c r="AE35" i="25"/>
  <c r="AD35" i="25"/>
  <c r="AC35" i="25"/>
  <c r="AB35" i="25"/>
  <c r="AA35" i="25"/>
  <c r="AE34" i="25"/>
  <c r="AD34" i="25"/>
  <c r="AC34" i="25"/>
  <c r="AB34" i="25"/>
  <c r="AA34" i="25"/>
  <c r="AE33" i="25"/>
  <c r="AD33" i="25"/>
  <c r="AC33" i="25"/>
  <c r="AB33" i="25"/>
  <c r="AA33" i="25"/>
  <c r="AE32" i="25"/>
  <c r="AD32" i="25"/>
  <c r="AC32" i="25"/>
  <c r="AB32" i="25"/>
  <c r="AA32" i="25"/>
  <c r="AE31" i="25"/>
  <c r="AD31" i="25"/>
  <c r="AC31" i="25"/>
  <c r="AB31" i="25"/>
  <c r="AA31" i="25"/>
  <c r="AE30" i="25"/>
  <c r="AD30" i="25"/>
  <c r="AC30" i="25"/>
  <c r="AB30" i="25"/>
  <c r="AA30" i="25"/>
  <c r="AE29" i="25"/>
  <c r="AD29" i="25"/>
  <c r="AC29" i="25"/>
  <c r="AB29" i="25"/>
  <c r="AA29" i="25"/>
  <c r="AE28" i="25"/>
  <c r="AD28" i="25"/>
  <c r="AC28" i="25"/>
  <c r="AB28" i="25"/>
  <c r="AA28" i="25"/>
  <c r="AE27" i="25"/>
  <c r="AD27" i="25"/>
  <c r="AC27" i="25"/>
  <c r="AB27" i="25"/>
  <c r="AA27" i="25"/>
  <c r="AE26" i="25"/>
  <c r="AD26" i="25"/>
  <c r="AC26" i="25"/>
  <c r="AB26" i="25"/>
  <c r="AA26" i="25"/>
  <c r="AE25" i="25"/>
  <c r="AD25" i="25"/>
  <c r="AC25" i="25"/>
  <c r="AB25" i="25"/>
  <c r="AA25" i="25"/>
  <c r="AE24" i="25"/>
  <c r="AD24" i="25"/>
  <c r="AC24" i="25"/>
  <c r="AB24" i="25"/>
  <c r="AA24" i="25"/>
  <c r="AE23" i="25"/>
  <c r="AD23" i="25"/>
  <c r="AC23" i="25"/>
  <c r="AB23" i="25"/>
  <c r="AA23" i="25"/>
  <c r="AE22" i="25"/>
  <c r="AD22" i="25"/>
  <c r="AC22" i="25"/>
  <c r="AB22" i="25"/>
  <c r="AA22" i="25"/>
  <c r="AE21" i="25"/>
  <c r="AD21" i="25"/>
  <c r="AC21" i="25"/>
  <c r="AB21" i="25"/>
  <c r="AA21" i="25"/>
  <c r="AE20" i="25"/>
  <c r="AD20" i="25"/>
  <c r="AC20" i="25"/>
  <c r="AB20" i="25"/>
  <c r="AA20" i="25"/>
  <c r="AE19" i="25"/>
  <c r="AD19" i="25"/>
  <c r="AC19" i="25"/>
  <c r="AB19" i="25"/>
  <c r="AA19" i="25"/>
  <c r="AE18" i="25"/>
  <c r="AD18" i="25"/>
  <c r="AC18" i="25"/>
  <c r="AB18" i="25"/>
  <c r="AA18" i="25"/>
  <c r="AE17" i="25"/>
  <c r="AD17" i="25"/>
  <c r="AC17" i="25"/>
  <c r="AB17" i="25"/>
  <c r="AA17" i="25"/>
  <c r="AE16" i="25"/>
  <c r="AD16" i="25"/>
  <c r="AC16" i="25"/>
  <c r="AB16" i="25"/>
  <c r="AA16" i="25"/>
  <c r="AE15" i="25"/>
  <c r="AE56" i="25" s="1"/>
  <c r="AD15" i="25"/>
  <c r="AC15" i="25"/>
  <c r="AB15" i="25"/>
  <c r="AA15" i="25"/>
  <c r="AE14" i="25"/>
  <c r="AD14" i="25"/>
  <c r="AC14" i="25"/>
  <c r="AB14" i="25"/>
  <c r="AA14" i="25"/>
  <c r="AE13" i="25"/>
  <c r="AD13" i="25"/>
  <c r="AC13" i="25"/>
  <c r="AB13" i="25"/>
  <c r="AA13" i="25"/>
  <c r="AE12" i="25"/>
  <c r="AE57" i="25" s="1"/>
  <c r="AD12" i="25"/>
  <c r="AC12" i="25"/>
  <c r="AB12" i="25"/>
  <c r="AA12" i="25"/>
  <c r="W61" i="24"/>
  <c r="Z60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D57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Z54" i="24"/>
  <c r="Y54" i="24"/>
  <c r="X54" i="24"/>
  <c r="X57" i="24" s="1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H57" i="24" s="1"/>
  <c r="G54" i="24"/>
  <c r="F54" i="24"/>
  <c r="E54" i="24"/>
  <c r="D54" i="24"/>
  <c r="C54" i="24"/>
  <c r="Z53" i="24"/>
  <c r="Z57" i="24" s="1"/>
  <c r="Y53" i="24"/>
  <c r="Y57" i="24" s="1"/>
  <c r="X53" i="24"/>
  <c r="W53" i="24"/>
  <c r="W57" i="24" s="1"/>
  <c r="V53" i="24"/>
  <c r="V57" i="24" s="1"/>
  <c r="U53" i="24"/>
  <c r="U57" i="24" s="1"/>
  <c r="T53" i="24"/>
  <c r="T57" i="24" s="1"/>
  <c r="S53" i="24"/>
  <c r="S57" i="24" s="1"/>
  <c r="R53" i="24"/>
  <c r="R57" i="24" s="1"/>
  <c r="Q53" i="24"/>
  <c r="Q61" i="24" s="1"/>
  <c r="P53" i="24"/>
  <c r="P57" i="24" s="1"/>
  <c r="O53" i="24"/>
  <c r="O57" i="24" s="1"/>
  <c r="N53" i="24"/>
  <c r="N57" i="24" s="1"/>
  <c r="M53" i="24"/>
  <c r="M57" i="24" s="1"/>
  <c r="L53" i="24"/>
  <c r="L57" i="24" s="1"/>
  <c r="K53" i="24"/>
  <c r="K57" i="24" s="1"/>
  <c r="J53" i="24"/>
  <c r="J57" i="24" s="1"/>
  <c r="I53" i="24"/>
  <c r="I57" i="24" s="1"/>
  <c r="H53" i="24"/>
  <c r="G53" i="24"/>
  <c r="G57" i="24" s="1"/>
  <c r="F53" i="24"/>
  <c r="F57" i="24" s="1"/>
  <c r="E53" i="24"/>
  <c r="E57" i="24" s="1"/>
  <c r="D53" i="24"/>
  <c r="C53" i="24"/>
  <c r="C61" i="24" s="1"/>
  <c r="AE51" i="24"/>
  <c r="AD51" i="24"/>
  <c r="AC51" i="24"/>
  <c r="AB51" i="24"/>
  <c r="AA51" i="24"/>
  <c r="AE50" i="24"/>
  <c r="AD50" i="24"/>
  <c r="AC50" i="24"/>
  <c r="AB50" i="24"/>
  <c r="AA50" i="24"/>
  <c r="AE49" i="24"/>
  <c r="AD49" i="24"/>
  <c r="AC49" i="24"/>
  <c r="AB49" i="24"/>
  <c r="AA49" i="24"/>
  <c r="AE48" i="24"/>
  <c r="AD48" i="24"/>
  <c r="AC48" i="24"/>
  <c r="AB48" i="24"/>
  <c r="AA48" i="24"/>
  <c r="AE47" i="24"/>
  <c r="AD47" i="24"/>
  <c r="AC47" i="24"/>
  <c r="AB47" i="24"/>
  <c r="AA47" i="24"/>
  <c r="AE46" i="24"/>
  <c r="AD46" i="24"/>
  <c r="AC46" i="24"/>
  <c r="AB46" i="24"/>
  <c r="AA46" i="24"/>
  <c r="AE45" i="24"/>
  <c r="AD45" i="24"/>
  <c r="AC45" i="24"/>
  <c r="AB45" i="24"/>
  <c r="AA45" i="24"/>
  <c r="AE44" i="24"/>
  <c r="AD44" i="24"/>
  <c r="AC44" i="24"/>
  <c r="AB44" i="24"/>
  <c r="AA44" i="24"/>
  <c r="AE43" i="24"/>
  <c r="AD43" i="24"/>
  <c r="AC43" i="24"/>
  <c r="AB43" i="24"/>
  <c r="AA43" i="24"/>
  <c r="AE42" i="24"/>
  <c r="AD42" i="24"/>
  <c r="AC42" i="24"/>
  <c r="AB42" i="24"/>
  <c r="AA42" i="24"/>
  <c r="AE41" i="24"/>
  <c r="AD41" i="24"/>
  <c r="AC41" i="24"/>
  <c r="AB41" i="24"/>
  <c r="AA41" i="24"/>
  <c r="AE40" i="24"/>
  <c r="AD40" i="24"/>
  <c r="AC40" i="24"/>
  <c r="AB40" i="24"/>
  <c r="AA40" i="24"/>
  <c r="AE39" i="24"/>
  <c r="AD39" i="24"/>
  <c r="AC39" i="24"/>
  <c r="AB39" i="24"/>
  <c r="AA39" i="24"/>
  <c r="AE38" i="24"/>
  <c r="AD38" i="24"/>
  <c r="AC38" i="24"/>
  <c r="AB38" i="24"/>
  <c r="AA38" i="24"/>
  <c r="AE37" i="24"/>
  <c r="AD37" i="24"/>
  <c r="AC37" i="24"/>
  <c r="AB37" i="24"/>
  <c r="AA37" i="24"/>
  <c r="AE36" i="24"/>
  <c r="AD36" i="24"/>
  <c r="AC36" i="24"/>
  <c r="AB36" i="24"/>
  <c r="AA36" i="24"/>
  <c r="AE35" i="24"/>
  <c r="AD35" i="24"/>
  <c r="AC35" i="24"/>
  <c r="AB35" i="24"/>
  <c r="AA35" i="24"/>
  <c r="AE34" i="24"/>
  <c r="AD34" i="24"/>
  <c r="AC34" i="24"/>
  <c r="AB34" i="24"/>
  <c r="AA34" i="24"/>
  <c r="AE33" i="24"/>
  <c r="AD33" i="24"/>
  <c r="AC33" i="24"/>
  <c r="AB33" i="24"/>
  <c r="AA33" i="24"/>
  <c r="AE32" i="24"/>
  <c r="AD32" i="24"/>
  <c r="AC32" i="24"/>
  <c r="AB32" i="24"/>
  <c r="AA32" i="24"/>
  <c r="AE31" i="24"/>
  <c r="AD31" i="24"/>
  <c r="AC31" i="24"/>
  <c r="AB31" i="24"/>
  <c r="AA31" i="24"/>
  <c r="AE30" i="24"/>
  <c r="AD30" i="24"/>
  <c r="AC30" i="24"/>
  <c r="AB30" i="24"/>
  <c r="AA30" i="24"/>
  <c r="AE29" i="24"/>
  <c r="AD29" i="24"/>
  <c r="AC29" i="24"/>
  <c r="AB29" i="24"/>
  <c r="AA29" i="24"/>
  <c r="AE28" i="24"/>
  <c r="AD28" i="24"/>
  <c r="AC28" i="24"/>
  <c r="AB28" i="24"/>
  <c r="AA28" i="24"/>
  <c r="AE27" i="24"/>
  <c r="AD27" i="24"/>
  <c r="AC27" i="24"/>
  <c r="AB27" i="24"/>
  <c r="AA27" i="24"/>
  <c r="AE26" i="24"/>
  <c r="AD26" i="24"/>
  <c r="AC26" i="24"/>
  <c r="AB26" i="24"/>
  <c r="AA26" i="24"/>
  <c r="AE25" i="24"/>
  <c r="AD25" i="24"/>
  <c r="AC25" i="24"/>
  <c r="AB25" i="24"/>
  <c r="AA25" i="24"/>
  <c r="AE24" i="24"/>
  <c r="AD24" i="24"/>
  <c r="AC24" i="24"/>
  <c r="AB24" i="24"/>
  <c r="AA24" i="24"/>
  <c r="AE23" i="24"/>
  <c r="AD23" i="24"/>
  <c r="AC23" i="24"/>
  <c r="AB23" i="24"/>
  <c r="AA23" i="24"/>
  <c r="AE22" i="24"/>
  <c r="AD22" i="24"/>
  <c r="AC22" i="24"/>
  <c r="AB22" i="24"/>
  <c r="AA22" i="24"/>
  <c r="AE21" i="24"/>
  <c r="AD21" i="24"/>
  <c r="AC21" i="24"/>
  <c r="AB21" i="24"/>
  <c r="AA21" i="24"/>
  <c r="AE20" i="24"/>
  <c r="AD20" i="24"/>
  <c r="AC20" i="24"/>
  <c r="AB20" i="24"/>
  <c r="AA20" i="24"/>
  <c r="AE19" i="24"/>
  <c r="AD19" i="24"/>
  <c r="AC19" i="24"/>
  <c r="AB19" i="24"/>
  <c r="AA19" i="24"/>
  <c r="AE18" i="24"/>
  <c r="AD18" i="24"/>
  <c r="AC18" i="24"/>
  <c r="AB18" i="24"/>
  <c r="AA18" i="24"/>
  <c r="AE17" i="24"/>
  <c r="AD17" i="24"/>
  <c r="AC17" i="24"/>
  <c r="AB17" i="24"/>
  <c r="AA17" i="24"/>
  <c r="AE16" i="24"/>
  <c r="AD16" i="24"/>
  <c r="AC16" i="24"/>
  <c r="AB16" i="24"/>
  <c r="AA16" i="24"/>
  <c r="AE15" i="24"/>
  <c r="AD15" i="24"/>
  <c r="AC15" i="24"/>
  <c r="AB15" i="24"/>
  <c r="AA15" i="24"/>
  <c r="AE14" i="24"/>
  <c r="AD14" i="24"/>
  <c r="AC14" i="24"/>
  <c r="AB14" i="24"/>
  <c r="AA14" i="24"/>
  <c r="AE13" i="24"/>
  <c r="AD13" i="24"/>
  <c r="AC13" i="24"/>
  <c r="AB13" i="24"/>
  <c r="AA13" i="24"/>
  <c r="AE12" i="24"/>
  <c r="AD12" i="24"/>
  <c r="AC12" i="24"/>
  <c r="AB12" i="24"/>
  <c r="AA12" i="24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V54" i="2"/>
  <c r="V57" i="2" s="1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G57" i="2" s="1"/>
  <c r="F54" i="2"/>
  <c r="E54" i="2"/>
  <c r="D54" i="2"/>
  <c r="C54" i="2"/>
  <c r="V53" i="2"/>
  <c r="U53" i="2"/>
  <c r="T53" i="2"/>
  <c r="S53" i="2"/>
  <c r="R53" i="2"/>
  <c r="Q53" i="2"/>
  <c r="P53" i="2"/>
  <c r="O53" i="2"/>
  <c r="N53" i="2"/>
  <c r="M53" i="2"/>
  <c r="L53" i="2"/>
  <c r="L61" i="2" s="1"/>
  <c r="K53" i="2"/>
  <c r="J53" i="2"/>
  <c r="I53" i="2"/>
  <c r="H53" i="2"/>
  <c r="G53" i="2"/>
  <c r="F53" i="2"/>
  <c r="E53" i="2"/>
  <c r="D53" i="2"/>
  <c r="C53" i="2"/>
  <c r="AA51" i="2"/>
  <c r="Z51" i="2"/>
  <c r="Y51" i="2"/>
  <c r="X51" i="2"/>
  <c r="W51" i="2"/>
  <c r="AA50" i="2"/>
  <c r="Z50" i="2"/>
  <c r="Y50" i="2"/>
  <c r="X50" i="2"/>
  <c r="W50" i="2"/>
  <c r="AA49" i="2"/>
  <c r="Z49" i="2"/>
  <c r="Y49" i="2"/>
  <c r="X49" i="2"/>
  <c r="W49" i="2"/>
  <c r="AA48" i="2"/>
  <c r="Z48" i="2"/>
  <c r="Y48" i="2"/>
  <c r="X48" i="2"/>
  <c r="W48" i="2"/>
  <c r="AA47" i="2"/>
  <c r="Z47" i="2"/>
  <c r="Y47" i="2"/>
  <c r="X47" i="2"/>
  <c r="W47" i="2"/>
  <c r="AA46" i="2"/>
  <c r="Z46" i="2"/>
  <c r="Y46" i="2"/>
  <c r="X46" i="2"/>
  <c r="W46" i="2"/>
  <c r="AA45" i="2"/>
  <c r="Z45" i="2"/>
  <c r="Y45" i="2"/>
  <c r="X45" i="2"/>
  <c r="W45" i="2"/>
  <c r="AA44" i="2"/>
  <c r="Z44" i="2"/>
  <c r="Y44" i="2"/>
  <c r="X44" i="2"/>
  <c r="W44" i="2"/>
  <c r="AA43" i="2"/>
  <c r="Z43" i="2"/>
  <c r="Y43" i="2"/>
  <c r="X43" i="2"/>
  <c r="W43" i="2"/>
  <c r="AA42" i="2"/>
  <c r="Z42" i="2"/>
  <c r="Y42" i="2"/>
  <c r="X42" i="2"/>
  <c r="W42" i="2"/>
  <c r="AA41" i="2"/>
  <c r="Z41" i="2"/>
  <c r="Y41" i="2"/>
  <c r="X41" i="2"/>
  <c r="W41" i="2"/>
  <c r="AA40" i="2"/>
  <c r="Z40" i="2"/>
  <c r="Y40" i="2"/>
  <c r="X40" i="2"/>
  <c r="W40" i="2"/>
  <c r="AA39" i="2"/>
  <c r="Z39" i="2"/>
  <c r="Y39" i="2"/>
  <c r="X39" i="2"/>
  <c r="W39" i="2"/>
  <c r="AA38" i="2"/>
  <c r="Z38" i="2"/>
  <c r="Y38" i="2"/>
  <c r="X38" i="2"/>
  <c r="W38" i="2"/>
  <c r="AA37" i="2"/>
  <c r="Z37" i="2"/>
  <c r="Y37" i="2"/>
  <c r="X37" i="2"/>
  <c r="W37" i="2"/>
  <c r="AA36" i="2"/>
  <c r="Z36" i="2"/>
  <c r="Y36" i="2"/>
  <c r="X36" i="2"/>
  <c r="W36" i="2"/>
  <c r="AA35" i="2"/>
  <c r="Z35" i="2"/>
  <c r="Y35" i="2"/>
  <c r="X35" i="2"/>
  <c r="W35" i="2"/>
  <c r="AA34" i="2"/>
  <c r="Z34" i="2"/>
  <c r="Y34" i="2"/>
  <c r="X34" i="2"/>
  <c r="W34" i="2"/>
  <c r="AA33" i="2"/>
  <c r="Z33" i="2"/>
  <c r="Y33" i="2"/>
  <c r="X33" i="2"/>
  <c r="W33" i="2"/>
  <c r="AA32" i="2"/>
  <c r="Z32" i="2"/>
  <c r="Y32" i="2"/>
  <c r="X32" i="2"/>
  <c r="W32" i="2"/>
  <c r="AA31" i="2"/>
  <c r="Z31" i="2"/>
  <c r="Y31" i="2"/>
  <c r="X31" i="2"/>
  <c r="W31" i="2"/>
  <c r="AA30" i="2"/>
  <c r="Z30" i="2"/>
  <c r="Y30" i="2"/>
  <c r="X30" i="2"/>
  <c r="W30" i="2"/>
  <c r="AA29" i="2"/>
  <c r="Z29" i="2"/>
  <c r="Y29" i="2"/>
  <c r="X29" i="2"/>
  <c r="W29" i="2"/>
  <c r="AA28" i="2"/>
  <c r="Z28" i="2"/>
  <c r="Y28" i="2"/>
  <c r="X28" i="2"/>
  <c r="W28" i="2"/>
  <c r="AA27" i="2"/>
  <c r="Z27" i="2"/>
  <c r="Y27" i="2"/>
  <c r="X27" i="2"/>
  <c r="W27" i="2"/>
  <c r="AA26" i="2"/>
  <c r="Z26" i="2"/>
  <c r="Y26" i="2"/>
  <c r="X26" i="2"/>
  <c r="W26" i="2"/>
  <c r="AA25" i="2"/>
  <c r="Z25" i="2"/>
  <c r="Y25" i="2"/>
  <c r="X25" i="2"/>
  <c r="W25" i="2"/>
  <c r="AA24" i="2"/>
  <c r="Z24" i="2"/>
  <c r="Y24" i="2"/>
  <c r="X24" i="2"/>
  <c r="W24" i="2"/>
  <c r="AA23" i="2"/>
  <c r="Z23" i="2"/>
  <c r="Y23" i="2"/>
  <c r="X23" i="2"/>
  <c r="W23" i="2"/>
  <c r="AA22" i="2"/>
  <c r="Z22" i="2"/>
  <c r="Y22" i="2"/>
  <c r="X22" i="2"/>
  <c r="W22" i="2"/>
  <c r="AA21" i="2"/>
  <c r="Z21" i="2"/>
  <c r="Y21" i="2"/>
  <c r="X21" i="2"/>
  <c r="W21" i="2"/>
  <c r="AA20" i="2"/>
  <c r="Z20" i="2"/>
  <c r="Y20" i="2"/>
  <c r="X20" i="2"/>
  <c r="W20" i="2"/>
  <c r="AA19" i="2"/>
  <c r="Z19" i="2"/>
  <c r="Y19" i="2"/>
  <c r="X19" i="2"/>
  <c r="W19" i="2"/>
  <c r="AA18" i="2"/>
  <c r="Z18" i="2"/>
  <c r="Y18" i="2"/>
  <c r="X18" i="2"/>
  <c r="W18" i="2"/>
  <c r="AA17" i="2"/>
  <c r="Z17" i="2"/>
  <c r="Y17" i="2"/>
  <c r="X17" i="2"/>
  <c r="W17" i="2"/>
  <c r="AA16" i="2"/>
  <c r="Z16" i="2"/>
  <c r="Y16" i="2"/>
  <c r="X16" i="2"/>
  <c r="W16" i="2"/>
  <c r="AA15" i="2"/>
  <c r="Z15" i="2"/>
  <c r="Y15" i="2"/>
  <c r="X15" i="2"/>
  <c r="W15" i="2"/>
  <c r="AA14" i="2"/>
  <c r="Z14" i="2"/>
  <c r="Y14" i="2"/>
  <c r="X14" i="2"/>
  <c r="W14" i="2"/>
  <c r="AA13" i="2"/>
  <c r="Z13" i="2"/>
  <c r="Y13" i="2"/>
  <c r="X13" i="2"/>
  <c r="W13" i="2"/>
  <c r="AA12" i="2"/>
  <c r="Z12" i="2"/>
  <c r="Y12" i="2"/>
  <c r="X12" i="2"/>
  <c r="W12" i="2"/>
  <c r="E60" i="1"/>
  <c r="C60" i="1"/>
  <c r="I59" i="1"/>
  <c r="H59" i="1"/>
  <c r="G59" i="1"/>
  <c r="F59" i="1"/>
  <c r="E59" i="1"/>
  <c r="D59" i="1"/>
  <c r="C59" i="1"/>
  <c r="H57" i="1"/>
  <c r="E57" i="1"/>
  <c r="C57" i="1"/>
  <c r="I56" i="1"/>
  <c r="H56" i="1"/>
  <c r="G56" i="1"/>
  <c r="F56" i="1"/>
  <c r="F57" i="1" s="1"/>
  <c r="E56" i="1"/>
  <c r="D56" i="1"/>
  <c r="C56" i="1"/>
  <c r="I55" i="1"/>
  <c r="H55" i="1"/>
  <c r="G55" i="1"/>
  <c r="F55" i="1"/>
  <c r="E55" i="1"/>
  <c r="D55" i="1"/>
  <c r="D57" i="1" s="1"/>
  <c r="C55" i="1"/>
  <c r="I54" i="1"/>
  <c r="H54" i="1"/>
  <c r="G54" i="1"/>
  <c r="F54" i="1"/>
  <c r="E54" i="1"/>
  <c r="D54" i="1"/>
  <c r="C54" i="1"/>
  <c r="I53" i="1"/>
  <c r="I57" i="1" s="1"/>
  <c r="H53" i="1"/>
  <c r="G53" i="1"/>
  <c r="G57" i="1" s="1"/>
  <c r="F53" i="1"/>
  <c r="E53" i="1"/>
  <c r="D53" i="1"/>
  <c r="C53" i="1"/>
  <c r="N51" i="1"/>
  <c r="M51" i="1"/>
  <c r="L51" i="1"/>
  <c r="K51" i="1"/>
  <c r="J51" i="1"/>
  <c r="N50" i="1"/>
  <c r="M50" i="1"/>
  <c r="L50" i="1"/>
  <c r="K50" i="1"/>
  <c r="J50" i="1"/>
  <c r="N49" i="1"/>
  <c r="M49" i="1"/>
  <c r="L49" i="1"/>
  <c r="K49" i="1"/>
  <c r="J49" i="1"/>
  <c r="N48" i="1"/>
  <c r="M48" i="1"/>
  <c r="L48" i="1"/>
  <c r="K48" i="1"/>
  <c r="J48" i="1"/>
  <c r="N47" i="1"/>
  <c r="M47" i="1"/>
  <c r="L47" i="1"/>
  <c r="K47" i="1"/>
  <c r="J47" i="1"/>
  <c r="N46" i="1"/>
  <c r="M46" i="1"/>
  <c r="L46" i="1"/>
  <c r="K46" i="1"/>
  <c r="J46" i="1"/>
  <c r="N45" i="1"/>
  <c r="M45" i="1"/>
  <c r="L45" i="1"/>
  <c r="K45" i="1"/>
  <c r="J45" i="1"/>
  <c r="N44" i="1"/>
  <c r="M44" i="1"/>
  <c r="L44" i="1"/>
  <c r="K44" i="1"/>
  <c r="J44" i="1"/>
  <c r="N43" i="1"/>
  <c r="M43" i="1"/>
  <c r="L43" i="1"/>
  <c r="K43" i="1"/>
  <c r="J43" i="1"/>
  <c r="N42" i="1"/>
  <c r="M42" i="1"/>
  <c r="L42" i="1"/>
  <c r="K42" i="1"/>
  <c r="J42" i="1"/>
  <c r="N41" i="1"/>
  <c r="M41" i="1"/>
  <c r="L41" i="1"/>
  <c r="K41" i="1"/>
  <c r="J41" i="1"/>
  <c r="N40" i="1"/>
  <c r="M40" i="1"/>
  <c r="L40" i="1"/>
  <c r="K40" i="1"/>
  <c r="J40" i="1"/>
  <c r="N39" i="1"/>
  <c r="M39" i="1"/>
  <c r="L39" i="1"/>
  <c r="K39" i="1"/>
  <c r="J39" i="1"/>
  <c r="N38" i="1"/>
  <c r="M38" i="1"/>
  <c r="L38" i="1"/>
  <c r="K38" i="1"/>
  <c r="J38" i="1"/>
  <c r="N37" i="1"/>
  <c r="M37" i="1"/>
  <c r="L37" i="1"/>
  <c r="K37" i="1"/>
  <c r="J37" i="1"/>
  <c r="N36" i="1"/>
  <c r="M36" i="1"/>
  <c r="L36" i="1"/>
  <c r="K36" i="1"/>
  <c r="J36" i="1"/>
  <c r="N35" i="1"/>
  <c r="M35" i="1"/>
  <c r="L35" i="1"/>
  <c r="K35" i="1"/>
  <c r="J35" i="1"/>
  <c r="N34" i="1"/>
  <c r="M34" i="1"/>
  <c r="L34" i="1"/>
  <c r="K34" i="1"/>
  <c r="J34" i="1"/>
  <c r="N33" i="1"/>
  <c r="M33" i="1"/>
  <c r="L33" i="1"/>
  <c r="K33" i="1"/>
  <c r="J33" i="1"/>
  <c r="N32" i="1"/>
  <c r="M32" i="1"/>
  <c r="L32" i="1"/>
  <c r="K32" i="1"/>
  <c r="J32" i="1"/>
  <c r="N31" i="1"/>
  <c r="M31" i="1"/>
  <c r="L31" i="1"/>
  <c r="K31" i="1"/>
  <c r="J31" i="1"/>
  <c r="N30" i="1"/>
  <c r="M30" i="1"/>
  <c r="L30" i="1"/>
  <c r="K30" i="1"/>
  <c r="J30" i="1"/>
  <c r="N29" i="1"/>
  <c r="M29" i="1"/>
  <c r="L29" i="1"/>
  <c r="K29" i="1"/>
  <c r="J29" i="1"/>
  <c r="N28" i="1"/>
  <c r="M28" i="1"/>
  <c r="L28" i="1"/>
  <c r="K28" i="1"/>
  <c r="J28" i="1"/>
  <c r="N27" i="1"/>
  <c r="M27" i="1"/>
  <c r="L27" i="1"/>
  <c r="K27" i="1"/>
  <c r="J27" i="1"/>
  <c r="N26" i="1"/>
  <c r="M26" i="1"/>
  <c r="L26" i="1"/>
  <c r="K26" i="1"/>
  <c r="J26" i="1"/>
  <c r="N25" i="1"/>
  <c r="M25" i="1"/>
  <c r="L25" i="1"/>
  <c r="K25" i="1"/>
  <c r="J25" i="1"/>
  <c r="N24" i="1"/>
  <c r="M24" i="1"/>
  <c r="L24" i="1"/>
  <c r="K24" i="1"/>
  <c r="J24" i="1"/>
  <c r="N23" i="1"/>
  <c r="M23" i="1"/>
  <c r="L23" i="1"/>
  <c r="K23" i="1"/>
  <c r="J23" i="1"/>
  <c r="N22" i="1"/>
  <c r="M22" i="1"/>
  <c r="L22" i="1"/>
  <c r="K22" i="1"/>
  <c r="J22" i="1"/>
  <c r="N21" i="1"/>
  <c r="M21" i="1"/>
  <c r="L21" i="1"/>
  <c r="K21" i="1"/>
  <c r="J21" i="1"/>
  <c r="N20" i="1"/>
  <c r="M20" i="1"/>
  <c r="L20" i="1"/>
  <c r="K20" i="1"/>
  <c r="J20" i="1"/>
  <c r="N19" i="1"/>
  <c r="M19" i="1"/>
  <c r="L19" i="1"/>
  <c r="K19" i="1"/>
  <c r="J19" i="1"/>
  <c r="N18" i="1"/>
  <c r="M18" i="1"/>
  <c r="L18" i="1"/>
  <c r="K18" i="1"/>
  <c r="J18" i="1"/>
  <c r="N17" i="1"/>
  <c r="M17" i="1"/>
  <c r="L17" i="1"/>
  <c r="K17" i="1"/>
  <c r="J17" i="1"/>
  <c r="N16" i="1"/>
  <c r="M16" i="1"/>
  <c r="L16" i="1"/>
  <c r="K16" i="1"/>
  <c r="J16" i="1"/>
  <c r="N15" i="1"/>
  <c r="M15" i="1"/>
  <c r="L15" i="1"/>
  <c r="K15" i="1"/>
  <c r="J15" i="1"/>
  <c r="N14" i="1"/>
  <c r="M14" i="1"/>
  <c r="L14" i="1"/>
  <c r="K14" i="1"/>
  <c r="J14" i="1"/>
  <c r="N13" i="1"/>
  <c r="M13" i="1"/>
  <c r="L13" i="1"/>
  <c r="K13" i="1"/>
  <c r="J13" i="1"/>
  <c r="N12" i="1"/>
  <c r="N58" i="1" s="1"/>
  <c r="M12" i="1"/>
  <c r="L12" i="1"/>
  <c r="K12" i="1"/>
  <c r="J12" i="1"/>
  <c r="AA57" i="27" l="1"/>
  <c r="Z57" i="27"/>
  <c r="R61" i="27"/>
  <c r="K57" i="27"/>
  <c r="G61" i="27"/>
  <c r="I57" i="27"/>
  <c r="AE59" i="24"/>
  <c r="AE57" i="24"/>
  <c r="Q57" i="24"/>
  <c r="AE56" i="24"/>
  <c r="K57" i="2"/>
  <c r="I57" i="2"/>
  <c r="C57" i="2"/>
  <c r="AA56" i="2"/>
  <c r="U57" i="2"/>
  <c r="S61" i="2"/>
  <c r="T57" i="2"/>
  <c r="S57" i="2"/>
  <c r="R57" i="2"/>
  <c r="Q57" i="2"/>
  <c r="P57" i="2"/>
  <c r="O57" i="2"/>
  <c r="N57" i="2"/>
  <c r="M57" i="2"/>
  <c r="L57" i="2"/>
  <c r="J57" i="2"/>
  <c r="H57" i="2"/>
  <c r="F57" i="2"/>
  <c r="E57" i="2"/>
  <c r="D57" i="2"/>
  <c r="AA59" i="2"/>
  <c r="N56" i="1"/>
  <c r="N59" i="1" s="1"/>
  <c r="AE58" i="25"/>
  <c r="AE60" i="25" s="1"/>
  <c r="AA58" i="2"/>
  <c r="N57" i="25"/>
  <c r="H57" i="26"/>
  <c r="AF56" i="27"/>
  <c r="R57" i="27"/>
  <c r="C57" i="24"/>
  <c r="Q57" i="25"/>
  <c r="M61" i="26"/>
  <c r="C57" i="27"/>
  <c r="AA57" i="2"/>
  <c r="C57" i="25"/>
  <c r="AF58" i="26"/>
  <c r="AF60" i="26" s="1"/>
  <c r="N57" i="1"/>
  <c r="AF59" i="26"/>
  <c r="G57" i="27"/>
  <c r="W57" i="27"/>
  <c r="O61" i="2"/>
  <c r="H61" i="24"/>
  <c r="L61" i="24"/>
  <c r="G57" i="25"/>
  <c r="L61" i="27"/>
  <c r="AE58" i="24"/>
  <c r="AF57" i="27"/>
  <c r="AF60" i="27" l="1"/>
  <c r="AE60" i="24"/>
  <c r="AA60" i="2"/>
</calcChain>
</file>

<file path=xl/sharedStrings.xml><?xml version="1.0" encoding="utf-8"?>
<sst xmlns="http://schemas.openxmlformats.org/spreadsheetml/2006/main" count="762" uniqueCount="147">
  <si>
    <t>REGISTRO DE LA PRUEBA DIAGNÓSTICA DE LECTURA 1° GRADO PRIMARIA</t>
  </si>
  <si>
    <t>INSTITUCIÓN EDUCATIVA:</t>
  </si>
  <si>
    <t>N°</t>
  </si>
  <si>
    <t>COMPETENCIAS</t>
  </si>
  <si>
    <t>Lee diversos tipos de textos en su lengua materna</t>
  </si>
  <si>
    <t>RESPUESTAS DE CADA ESTUDIANTE</t>
  </si>
  <si>
    <t>NIVEL DE LA COMPETENCIA</t>
  </si>
  <si>
    <t>TEXTO</t>
  </si>
  <si>
    <t xml:space="preserve">Pedro </t>
  </si>
  <si>
    <t>El cuidado de los árboles</t>
  </si>
  <si>
    <t>TIPO TEXTUAL</t>
  </si>
  <si>
    <t>Narrativo</t>
  </si>
  <si>
    <t>GENERO</t>
  </si>
  <si>
    <t>Anécdota</t>
  </si>
  <si>
    <t>Cuento</t>
  </si>
  <si>
    <t>FORMATO</t>
  </si>
  <si>
    <t>Continuo</t>
  </si>
  <si>
    <t>CAPACIDADES</t>
  </si>
  <si>
    <t>Obtiene información del texto escrito.</t>
  </si>
  <si>
    <t>Infiere e interpreta información del texto.</t>
  </si>
  <si>
    <t>CORRECTAS</t>
  </si>
  <si>
    <t>PARCIALES</t>
  </si>
  <si>
    <t>INCORRECTAS</t>
  </si>
  <si>
    <t>OMITIDAS</t>
  </si>
  <si>
    <t>Apellidos y Nombres</t>
  </si>
  <si>
    <t>P1</t>
  </si>
  <si>
    <t>P2</t>
  </si>
  <si>
    <t>P3</t>
  </si>
  <si>
    <t>P4</t>
  </si>
  <si>
    <t>P5</t>
  </si>
  <si>
    <t>P6</t>
  </si>
  <si>
    <t>P7</t>
  </si>
  <si>
    <t>BARRIENTOS FLOREZ, Khataleya</t>
  </si>
  <si>
    <t>CAPANI HUAMAN, Jhonatan</t>
  </si>
  <si>
    <t>CASTAÑEDA CASTAÑEDA, Khalessi Gianella</t>
  </si>
  <si>
    <t>CHAVEZ INGA, Liam Smith</t>
  </si>
  <si>
    <t>CONDE HUAYRA, Rosy Nayeli</t>
  </si>
  <si>
    <t>CONISLLA JURADO, Angela Naomy</t>
  </si>
  <si>
    <t>DELGADILLO ÑAHUI David Ahoi</t>
  </si>
  <si>
    <t>HERRERA ANAYA, Eitan Zaid</t>
  </si>
  <si>
    <t xml:space="preserve">HUAMAN COLQUES, Thiago Sebastian </t>
  </si>
  <si>
    <t>HUAMAN NATEROS, Nickol Cataleya Mia</t>
  </si>
  <si>
    <t>HUAMAN RAMOS, Liam Joel</t>
  </si>
  <si>
    <t>HUARCAYA COLQUES, Liam Alexander</t>
  </si>
  <si>
    <t xml:space="preserve">ICHPAS SILVESTRE, Yasuri Sarai </t>
  </si>
  <si>
    <t xml:space="preserve">LUCAS DE LA CRUZ, Brandon Leyton </t>
  </si>
  <si>
    <t>LUCAS JUÑO, Yuliana</t>
  </si>
  <si>
    <t>MAYHUA QUINTO, Diego Jose</t>
  </si>
  <si>
    <t>MULATO ARTEAGA, Lyan Faric</t>
  </si>
  <si>
    <t xml:space="preserve">OSCO CANALES, Jhon </t>
  </si>
  <si>
    <t xml:space="preserve">OSORIO QUISPE, Mia Luciana </t>
  </si>
  <si>
    <t>PEREZ SEDANO, Jhon Saul</t>
  </si>
  <si>
    <t xml:space="preserve">QUISPE CASQUI, David </t>
  </si>
  <si>
    <t>RESUMEN DE RESPUESTAS DE AULA</t>
  </si>
  <si>
    <t>PARA LA DREH</t>
  </si>
  <si>
    <t>COMPETENCIA</t>
  </si>
  <si>
    <t>Logrado</t>
  </si>
  <si>
    <t>TOTAL</t>
  </si>
  <si>
    <t>Proceso</t>
  </si>
  <si>
    <t>Inicio</t>
  </si>
  <si>
    <t>ANÁLISIS POR ÍTEMS</t>
  </si>
  <si>
    <t>TOTAL DE EVALUADOS</t>
  </si>
  <si>
    <t>ANÁLISIS POR TIPO DE TEXTO</t>
  </si>
  <si>
    <t>LEYENDA</t>
  </si>
  <si>
    <t>3 =</t>
  </si>
  <si>
    <t>2=</t>
  </si>
  <si>
    <t>1 =</t>
  </si>
  <si>
    <t>0 =</t>
  </si>
  <si>
    <t>--</t>
  </si>
  <si>
    <t>Gato</t>
  </si>
  <si>
    <t>Tijeras</t>
  </si>
  <si>
    <t>Manzana</t>
  </si>
  <si>
    <t>Cometa</t>
  </si>
  <si>
    <t>El perro
muerde el
zapato.</t>
  </si>
  <si>
    <t>José y
Teresa
barren el
salón.</t>
  </si>
  <si>
    <t>El partido
de fútbol</t>
  </si>
  <si>
    <t>Paola</t>
  </si>
  <si>
    <t>Marta</t>
  </si>
  <si>
    <t>Natalia</t>
  </si>
  <si>
    <t>El oso hormiguero</t>
  </si>
  <si>
    <t>La mentira del erizo</t>
  </si>
  <si>
    <t>Descriptivo</t>
  </si>
  <si>
    <t>Descripción</t>
  </si>
  <si>
    <t>Reflexiona y evalúa la forma, el contenido y contexto del texto.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</si>
  <si>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</si>
  <si>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</si>
  <si>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</si>
  <si>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</si>
  <si>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</si>
  <si>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</si>
  <si>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</si>
  <si>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</si>
  <si>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</si>
  <si>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</si>
  <si>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</si>
  <si>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</si>
  <si>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</si>
  <si>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</si>
  <si>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</si>
  <si>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</si>
  <si>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</si>
  <si>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Previo al Inicio</t>
  </si>
  <si>
    <t>REGISTRO DE LA PRUEBA DIAGNÓSTICA DE LECTURA 3° GRADO PRIMARIA</t>
  </si>
  <si>
    <t>Monito especial</t>
  </si>
  <si>
    <t>¡No les temas a las lágrimas!</t>
  </si>
  <si>
    <t>Piojos</t>
  </si>
  <si>
    <t>Kopi</t>
  </si>
  <si>
    <t>Feria de ciencias</t>
  </si>
  <si>
    <t>Expositivo</t>
  </si>
  <si>
    <t>Instructivo</t>
  </si>
  <si>
    <t>Argumentativo</t>
  </si>
  <si>
    <t>Artículo Enciclopédico</t>
  </si>
  <si>
    <t>Texto de recomendaciones</t>
  </si>
  <si>
    <t>Afiche</t>
  </si>
  <si>
    <t>Mixto</t>
  </si>
  <si>
    <t>Discontinuo</t>
  </si>
  <si>
    <t>REGISTRO DE LA PRUEBA DIAGNÓSTICA DE LECTURA 4° GRADO PRIMARIA</t>
  </si>
  <si>
    <t>¿Melena difícil?</t>
  </si>
  <si>
    <t>Una persona muy especial para mí</t>
  </si>
  <si>
    <t>¿Por qué pican los mosquitos?</t>
  </si>
  <si>
    <t>Susy cumple un año</t>
  </si>
  <si>
    <t>Aprendamos a montar bicicleta</t>
  </si>
  <si>
    <t>Descripción de persona</t>
  </si>
  <si>
    <t>Noticia</t>
  </si>
  <si>
    <t>Manual de procedimientos</t>
  </si>
  <si>
    <t>P25</t>
  </si>
  <si>
    <t>REGISTRO DE LA PRUEBA DIAGNÓSTICA DE LECTURA 5° GRADO PRIMARIA</t>
  </si>
  <si>
    <t>Mariquita</t>
  </si>
  <si>
    <t>El misterio del auqui</t>
  </si>
  <si>
    <t>El sol y las estrellas</t>
  </si>
  <si>
    <t>Tráfico animal</t>
  </si>
  <si>
    <t>Un divertido experimento</t>
  </si>
  <si>
    <t>REGISTRO DE LA PRUEBA DIAGNÓSTICA DE LECTURA 6° GRADO PRIMARIA</t>
  </si>
  <si>
    <t>Esya</t>
  </si>
  <si>
    <t>Un pequeño pez colgante</t>
  </si>
  <si>
    <t>Avelina Cruz, la mujer que convierte el tejido de cuatro estacas en arte</t>
  </si>
  <si>
    <t>Vacunación de mascotas</t>
  </si>
  <si>
    <t>Donación de bicicletas</t>
  </si>
  <si>
    <t>Crónica</t>
  </si>
  <si>
    <t>Carta</t>
  </si>
  <si>
    <t xml:space="preserve"> </t>
  </si>
  <si>
    <t>JUAN</t>
  </si>
  <si>
    <t>PEDRO</t>
  </si>
  <si>
    <t>SALOME</t>
  </si>
  <si>
    <t>MARÍA</t>
  </si>
  <si>
    <t>PARA EL SIMON</t>
  </si>
  <si>
    <t>Flores Quispe, Zosimo Hernan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</si>
</sst>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b/>
      <sz val="26"/>
      <color theme="0"/>
      <name val="Arial"/>
      <family val="2"/>
    </font>
    <font>
      <sz val="11"/>
      <name val="Calibri"/>
      <family val="2"/>
    </font>
    <font>
      <sz val="12"/>
      <color theme="1"/>
      <name val="Arial"/>
      <family val="2"/>
    </font>
    <font>
      <b/>
      <sz val="16"/>
      <color theme="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8"/>
      <color theme="0"/>
      <name val="Arial"/>
      <family val="2"/>
    </font>
    <font>
      <sz val="11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6"/>
      <color theme="1"/>
      <name val="Arial"/>
      <family val="2"/>
    </font>
    <font>
      <b/>
      <sz val="26"/>
      <color rgb="FFFFFFFF"/>
      <name val="Arial"/>
      <family val="2"/>
    </font>
    <font>
      <sz val="11"/>
      <color rgb="FF000000"/>
      <name val="&quot;Times New Roman&quot;"/>
    </font>
  </fonts>
  <fills count="17">
    <fill>
      <patternFill patternType="none"/>
    </fill>
    <fill>
      <patternFill patternType="gray125"/>
    </fill>
    <fill>
      <patternFill patternType="solid">
        <fgColor rgb="FFFF3399"/>
        <bgColor rgb="FFFF3399"/>
      </patternFill>
    </fill>
    <fill>
      <patternFill patternType="solid">
        <fgColor rgb="FFFF7DBE"/>
        <bgColor rgb="FFFF7DBE"/>
      </patternFill>
    </fill>
    <fill>
      <patternFill patternType="solid">
        <fgColor rgb="FFFFB9DC"/>
        <bgColor rgb="FFFFB9DC"/>
      </patternFill>
    </fill>
    <fill>
      <patternFill patternType="solid">
        <fgColor rgb="FFFFE1F0"/>
        <bgColor rgb="FFFFE1F0"/>
      </patternFill>
    </fill>
    <fill>
      <patternFill patternType="solid">
        <fgColor rgb="FF79FFB6"/>
        <bgColor rgb="FF79FFB6"/>
      </patternFill>
    </fill>
    <fill>
      <patternFill patternType="solid">
        <fgColor rgb="FFFFFF79"/>
        <bgColor rgb="FFFFFF79"/>
      </patternFill>
    </fill>
    <fill>
      <patternFill patternType="solid">
        <fgColor rgb="FFFFBDBD"/>
        <bgColor rgb="FFFFBDBD"/>
      </patternFill>
    </fill>
    <fill>
      <patternFill patternType="solid">
        <fgColor rgb="FFD8D8D8"/>
        <bgColor rgb="FFD8D8D8"/>
      </patternFill>
    </fill>
    <fill>
      <patternFill patternType="solid">
        <fgColor rgb="FFFFEBF5"/>
        <bgColor rgb="FFFFEBF5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94">
    <border>
      <left/>
      <right/>
      <top/>
      <bottom/>
      <diagonal/>
    </border>
    <border>
      <left style="thin">
        <color rgb="FF800080"/>
      </left>
      <right/>
      <top style="thin">
        <color rgb="FF800080"/>
      </top>
      <bottom style="thin">
        <color rgb="FF800080"/>
      </bottom>
      <diagonal/>
    </border>
    <border>
      <left/>
      <right/>
      <top style="thin">
        <color rgb="FF800080"/>
      </top>
      <bottom style="thin">
        <color rgb="FF800080"/>
      </bottom>
      <diagonal/>
    </border>
    <border>
      <left/>
      <right style="thin">
        <color rgb="FF800080"/>
      </right>
      <top style="thin">
        <color rgb="FF800080"/>
      </top>
      <bottom style="thin">
        <color rgb="FF800080"/>
      </bottom>
      <diagonal/>
    </border>
    <border>
      <left style="medium">
        <color rgb="FFFF3399"/>
      </left>
      <right/>
      <top style="medium">
        <color rgb="FFFF3399"/>
      </top>
      <bottom style="medium">
        <color rgb="FFFF3399"/>
      </bottom>
      <diagonal/>
    </border>
    <border>
      <left/>
      <right style="medium">
        <color rgb="FF833C0B"/>
      </right>
      <top style="medium">
        <color rgb="FFFF3399"/>
      </top>
      <bottom style="medium">
        <color rgb="FFFF3399"/>
      </bottom>
      <diagonal/>
    </border>
    <border>
      <left/>
      <right/>
      <top style="medium">
        <color rgb="FFFF3399"/>
      </top>
      <bottom style="medium">
        <color rgb="FFFF3399"/>
      </bottom>
      <diagonal/>
    </border>
    <border>
      <left/>
      <right style="medium">
        <color rgb="FFFF3399"/>
      </right>
      <top style="medium">
        <color rgb="FFFF3399"/>
      </top>
      <bottom style="medium">
        <color rgb="FFFF3399"/>
      </bottom>
      <diagonal/>
    </border>
    <border>
      <left style="medium">
        <color rgb="FFFF3399"/>
      </left>
      <right style="medium">
        <color rgb="FFFF3399"/>
      </right>
      <top style="medium">
        <color rgb="FFFF3399"/>
      </top>
      <bottom/>
      <diagonal/>
    </border>
    <border>
      <left/>
      <right style="medium">
        <color rgb="FFFF3399"/>
      </right>
      <top style="medium">
        <color rgb="FFFF3399"/>
      </top>
      <bottom/>
      <diagonal/>
    </border>
    <border>
      <left style="medium">
        <color rgb="FFFF3399"/>
      </left>
      <right/>
      <top style="medium">
        <color rgb="FFCC3399"/>
      </top>
      <bottom style="medium">
        <color rgb="FFFF3399"/>
      </bottom>
      <diagonal/>
    </border>
    <border>
      <left/>
      <right/>
      <top style="medium">
        <color rgb="FFCC3399"/>
      </top>
      <bottom style="medium">
        <color rgb="FFFF3399"/>
      </bottom>
      <diagonal/>
    </border>
    <border>
      <left/>
      <right style="medium">
        <color rgb="FFFF3399"/>
      </right>
      <top style="medium">
        <color rgb="FFCC3399"/>
      </top>
      <bottom style="medium">
        <color rgb="FFFF3399"/>
      </bottom>
      <diagonal/>
    </border>
    <border>
      <left style="medium">
        <color rgb="FFFF3399"/>
      </left>
      <right/>
      <top style="medium">
        <color rgb="FFFF3399"/>
      </top>
      <bottom/>
      <diagonal/>
    </border>
    <border>
      <left/>
      <right/>
      <top style="medium">
        <color rgb="FFFF3399"/>
      </top>
      <bottom/>
      <diagonal/>
    </border>
    <border>
      <left/>
      <right/>
      <top style="medium">
        <color rgb="FFFF3399"/>
      </top>
      <bottom/>
      <diagonal/>
    </border>
    <border>
      <left style="medium">
        <color rgb="FFFF3399"/>
      </left>
      <right style="medium">
        <color rgb="FFFF3399"/>
      </right>
      <top/>
      <bottom/>
      <diagonal/>
    </border>
    <border>
      <left/>
      <right style="medium">
        <color rgb="FFFF3399"/>
      </right>
      <top style="medium">
        <color rgb="FFFF3399"/>
      </top>
      <bottom style="medium">
        <color rgb="FFFF3399"/>
      </bottom>
      <diagonal/>
    </border>
    <border>
      <left/>
      <right/>
      <top style="medium">
        <color rgb="FFFF3399"/>
      </top>
      <bottom style="medium">
        <color rgb="FFFF3399"/>
      </bottom>
      <diagonal/>
    </border>
    <border>
      <left/>
      <right/>
      <top style="medium">
        <color rgb="FFFF3399"/>
      </top>
      <bottom style="medium">
        <color rgb="FFFF3399"/>
      </bottom>
      <diagonal/>
    </border>
    <border>
      <left style="medium">
        <color rgb="FFFF3399"/>
      </left>
      <right/>
      <top/>
      <bottom/>
      <diagonal/>
    </border>
    <border>
      <left/>
      <right/>
      <top/>
      <bottom/>
      <diagonal/>
    </border>
    <border>
      <left/>
      <right style="medium">
        <color rgb="FFFF3399"/>
      </right>
      <top/>
      <bottom/>
      <diagonal/>
    </border>
    <border>
      <left style="medium">
        <color rgb="FFFF339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FF3399"/>
      </right>
      <top/>
      <bottom style="medium">
        <color rgb="FFFF3399"/>
      </bottom>
      <diagonal/>
    </border>
    <border>
      <left/>
      <right/>
      <top style="medium">
        <color rgb="FFFF3399"/>
      </top>
      <bottom/>
      <diagonal/>
    </border>
    <border>
      <left/>
      <right/>
      <top style="medium">
        <color rgb="FFFF3399"/>
      </top>
      <bottom/>
      <diagonal/>
    </border>
    <border>
      <left style="medium">
        <color rgb="FFFF3399"/>
      </left>
      <right/>
      <top/>
      <bottom style="medium">
        <color rgb="FFFF3399"/>
      </bottom>
      <diagonal/>
    </border>
    <border>
      <left/>
      <right/>
      <top/>
      <bottom style="medium">
        <color rgb="FFFF3399"/>
      </bottom>
      <diagonal/>
    </border>
    <border>
      <left/>
      <right/>
      <top/>
      <bottom style="medium">
        <color rgb="FFFF3399"/>
      </bottom>
      <diagonal/>
    </border>
    <border>
      <left/>
      <right/>
      <top/>
      <bottom/>
      <diagonal/>
    </border>
    <border>
      <left style="medium">
        <color rgb="FFFF3399"/>
      </left>
      <right/>
      <top style="medium">
        <color rgb="FFFF3399"/>
      </top>
      <bottom style="medium">
        <color rgb="FFFF3399"/>
      </bottom>
      <diagonal/>
    </border>
    <border>
      <left style="thin">
        <color rgb="FFFF3399"/>
      </left>
      <right style="medium">
        <color rgb="FFFF3399"/>
      </right>
      <top style="medium">
        <color rgb="FFFF3399"/>
      </top>
      <bottom style="thin">
        <color rgb="FFFF3399"/>
      </bottom>
      <diagonal/>
    </border>
    <border>
      <left/>
      <right style="thin">
        <color rgb="FF993366"/>
      </right>
      <top style="medium">
        <color rgb="FFFF3399"/>
      </top>
      <bottom/>
      <diagonal/>
    </border>
    <border>
      <left style="thin">
        <color rgb="FF993366"/>
      </left>
      <right style="medium">
        <color rgb="FFFF3399"/>
      </right>
      <top style="medium">
        <color rgb="FFFF3399"/>
      </top>
      <bottom/>
      <diagonal/>
    </border>
    <border>
      <left/>
      <right/>
      <top/>
      <bottom/>
      <diagonal/>
    </border>
    <border>
      <left style="medium">
        <color rgb="FFFF3399"/>
      </left>
      <right style="medium">
        <color rgb="FFFF3399"/>
      </right>
      <top/>
      <bottom/>
      <diagonal/>
    </border>
    <border>
      <left style="medium">
        <color rgb="FFFF3399"/>
      </left>
      <right/>
      <top/>
      <bottom/>
      <diagonal/>
    </border>
    <border>
      <left style="medium">
        <color rgb="FFFF3399"/>
      </left>
      <right style="medium">
        <color rgb="FFFF3399"/>
      </right>
      <top/>
      <bottom style="medium">
        <color rgb="FFFF3399"/>
      </bottom>
      <diagonal/>
    </border>
    <border>
      <left style="medium">
        <color rgb="FFFF3399"/>
      </left>
      <right/>
      <top/>
      <bottom style="thin">
        <color rgb="FFFF3399"/>
      </bottom>
      <diagonal/>
    </border>
    <border>
      <left/>
      <right/>
      <top/>
      <bottom/>
      <diagonal/>
    </border>
    <border>
      <left style="medium">
        <color rgb="FFFF3399"/>
      </left>
      <right style="medium">
        <color rgb="FFFF3399"/>
      </right>
      <top/>
      <bottom/>
      <diagonal/>
    </border>
    <border>
      <left style="medium">
        <color rgb="FFFF3399"/>
      </left>
      <right/>
      <top/>
      <bottom/>
      <diagonal/>
    </border>
    <border>
      <left style="medium">
        <color rgb="FFCC3399"/>
      </left>
      <right style="thin">
        <color rgb="FF993366"/>
      </right>
      <top/>
      <bottom style="thin">
        <color rgb="FF993366"/>
      </bottom>
      <diagonal/>
    </border>
    <border>
      <left style="thin">
        <color rgb="FF993366"/>
      </left>
      <right/>
      <top/>
      <bottom style="thin">
        <color rgb="FF993366"/>
      </bottom>
      <diagonal/>
    </border>
    <border>
      <left style="medium">
        <color rgb="FFFF3399"/>
      </left>
      <right/>
      <top/>
      <bottom style="thin">
        <color rgb="FF993366"/>
      </bottom>
      <diagonal/>
    </border>
    <border>
      <left style="thin">
        <color rgb="FFFF3399"/>
      </left>
      <right style="medium">
        <color rgb="FFFF3399"/>
      </right>
      <top style="thin">
        <color rgb="FFFF3399"/>
      </top>
      <bottom style="thin">
        <color rgb="FFFF3399"/>
      </bottom>
      <diagonal/>
    </border>
    <border>
      <left/>
      <right style="thin">
        <color rgb="FF993366"/>
      </right>
      <top/>
      <bottom style="thin">
        <color rgb="FF993366"/>
      </bottom>
      <diagonal/>
    </border>
    <border>
      <left style="thin">
        <color rgb="FF993366"/>
      </left>
      <right style="thin">
        <color rgb="FF993366"/>
      </right>
      <top/>
      <bottom style="thin">
        <color rgb="FF993366"/>
      </bottom>
      <diagonal/>
    </border>
    <border>
      <left style="thin">
        <color rgb="FF993366"/>
      </left>
      <right style="medium">
        <color rgb="FFFF3399"/>
      </right>
      <top/>
      <bottom style="thin">
        <color rgb="FF993366"/>
      </bottom>
      <diagonal/>
    </border>
    <border>
      <left style="medium">
        <color rgb="FFFF3399"/>
      </left>
      <right/>
      <top style="thin">
        <color rgb="FF993366"/>
      </top>
      <bottom style="thin">
        <color rgb="FF993366"/>
      </bottom>
      <diagonal/>
    </border>
    <border>
      <left style="medium">
        <color rgb="FFFF3399"/>
      </left>
      <right style="medium">
        <color rgb="FFFF3399"/>
      </right>
      <top style="medium">
        <color rgb="FFFF3399"/>
      </top>
      <bottom style="thin">
        <color rgb="FF993366"/>
      </bottom>
      <diagonal/>
    </border>
    <border>
      <left/>
      <right/>
      <top style="medium">
        <color rgb="FFFF3399"/>
      </top>
      <bottom style="thin">
        <color rgb="FF993366"/>
      </bottom>
      <diagonal/>
    </border>
    <border>
      <left style="medium">
        <color rgb="FFFF3399"/>
      </left>
      <right style="medium">
        <color rgb="FFFF3399"/>
      </right>
      <top/>
      <bottom style="thin">
        <color rgb="FFFF7DBE"/>
      </bottom>
      <diagonal/>
    </border>
    <border>
      <left style="medium">
        <color rgb="FFCC3399"/>
      </left>
      <right style="thin">
        <color rgb="FF993366"/>
      </right>
      <top style="thin">
        <color rgb="FF993366"/>
      </top>
      <bottom style="thin">
        <color rgb="FF993366"/>
      </bottom>
      <diagonal/>
    </border>
    <border>
      <left style="thin">
        <color rgb="FF993366"/>
      </left>
      <right/>
      <top style="thin">
        <color rgb="FF993366"/>
      </top>
      <bottom style="thin">
        <color rgb="FF993366"/>
      </bottom>
      <diagonal/>
    </border>
    <border>
      <left style="medium">
        <color rgb="FFFF3399"/>
      </left>
      <right/>
      <top style="thin">
        <color rgb="FF993366"/>
      </top>
      <bottom style="thin">
        <color rgb="FF993366"/>
      </bottom>
      <diagonal/>
    </border>
    <border>
      <left/>
      <right style="thin">
        <color rgb="FF993366"/>
      </right>
      <top style="thin">
        <color rgb="FF993366"/>
      </top>
      <bottom style="thin">
        <color rgb="FF993366"/>
      </bottom>
      <diagonal/>
    </border>
    <border>
      <left style="thin">
        <color rgb="FF993366"/>
      </left>
      <right style="thin">
        <color rgb="FF993366"/>
      </right>
      <top style="thin">
        <color rgb="FF993366"/>
      </top>
      <bottom style="thin">
        <color rgb="FF993366"/>
      </bottom>
      <diagonal/>
    </border>
    <border>
      <left style="thin">
        <color rgb="FF993366"/>
      </left>
      <right style="medium">
        <color rgb="FFFF3399"/>
      </right>
      <top style="thin">
        <color rgb="FF993366"/>
      </top>
      <bottom style="thin">
        <color rgb="FF993366"/>
      </bottom>
      <diagonal/>
    </border>
    <border>
      <left style="medium">
        <color rgb="FFFF3399"/>
      </left>
      <right style="medium">
        <color rgb="FFFF3399"/>
      </right>
      <top style="thin">
        <color rgb="FF993366"/>
      </top>
      <bottom style="thin">
        <color rgb="FF993366"/>
      </bottom>
      <diagonal/>
    </border>
    <border>
      <left/>
      <right/>
      <top style="thin">
        <color rgb="FF993366"/>
      </top>
      <bottom style="thin">
        <color rgb="FF993366"/>
      </bottom>
      <diagonal/>
    </border>
    <border>
      <left/>
      <right style="thin">
        <color rgb="FF993366"/>
      </right>
      <top style="thin">
        <color rgb="FF993366"/>
      </top>
      <bottom style="thin">
        <color rgb="FF993366"/>
      </bottom>
      <diagonal/>
    </border>
    <border>
      <left style="thin">
        <color rgb="FF993366"/>
      </left>
      <right/>
      <top style="thin">
        <color rgb="FF993366"/>
      </top>
      <bottom style="thin">
        <color rgb="FF993366"/>
      </bottom>
      <diagonal/>
    </border>
    <border>
      <left/>
      <right/>
      <top style="thin">
        <color rgb="FF993366"/>
      </top>
      <bottom style="thin">
        <color rgb="FF993366"/>
      </bottom>
      <diagonal/>
    </border>
    <border>
      <left style="medium">
        <color rgb="FFCC3399"/>
      </left>
      <right style="thin">
        <color rgb="FF993366"/>
      </right>
      <top style="thin">
        <color rgb="FF993366"/>
      </top>
      <bottom/>
      <diagonal/>
    </border>
    <border>
      <left style="thin">
        <color rgb="FF993366"/>
      </left>
      <right/>
      <top style="thin">
        <color rgb="FF993366"/>
      </top>
      <bottom/>
      <diagonal/>
    </border>
    <border>
      <left style="medium">
        <color rgb="FFFF3399"/>
      </left>
      <right/>
      <top style="thin">
        <color rgb="FF993366"/>
      </top>
      <bottom/>
      <diagonal/>
    </border>
    <border>
      <left/>
      <right style="thin">
        <color rgb="FF993366"/>
      </right>
      <top style="thin">
        <color rgb="FF993366"/>
      </top>
      <bottom/>
      <diagonal/>
    </border>
    <border>
      <left style="thin">
        <color rgb="FF993366"/>
      </left>
      <right style="thin">
        <color rgb="FF993366"/>
      </right>
      <top style="thin">
        <color rgb="FF993366"/>
      </top>
      <bottom/>
      <diagonal/>
    </border>
    <border>
      <left style="thin">
        <color rgb="FF993366"/>
      </left>
      <right style="medium">
        <color rgb="FFFF3399"/>
      </right>
      <top style="thin">
        <color rgb="FF993366"/>
      </top>
      <bottom/>
      <diagonal/>
    </border>
    <border>
      <left style="medium">
        <color rgb="FFFF3399"/>
      </left>
      <right/>
      <top style="thin">
        <color rgb="FF993366"/>
      </top>
      <bottom style="medium">
        <color rgb="FFFF3399"/>
      </bottom>
      <diagonal/>
    </border>
    <border>
      <left style="medium">
        <color rgb="FFFF3399"/>
      </left>
      <right style="medium">
        <color rgb="FFFF3399"/>
      </right>
      <top style="thin">
        <color rgb="FF993366"/>
      </top>
      <bottom style="medium">
        <color rgb="FFFF3399"/>
      </bottom>
      <diagonal/>
    </border>
    <border>
      <left/>
      <right/>
      <top style="thin">
        <color rgb="FF993366"/>
      </top>
      <bottom/>
      <diagonal/>
    </border>
    <border>
      <left style="medium">
        <color rgb="FFFF3399"/>
      </left>
      <right style="medium">
        <color rgb="FFFF3399"/>
      </right>
      <top style="thin">
        <color rgb="FF993366"/>
      </top>
      <bottom/>
      <diagonal/>
    </border>
    <border>
      <left style="medium">
        <color rgb="FFFF3399"/>
      </left>
      <right/>
      <top style="medium">
        <color rgb="FFFF3399"/>
      </top>
      <bottom style="thin">
        <color rgb="FF993366"/>
      </bottom>
      <diagonal/>
    </border>
    <border>
      <left/>
      <right/>
      <top style="medium">
        <color rgb="FFFF3399"/>
      </top>
      <bottom style="thin">
        <color rgb="FF993366"/>
      </bottom>
      <diagonal/>
    </border>
    <border>
      <left style="medium">
        <color rgb="FFFF3399"/>
      </left>
      <right/>
      <top style="medium">
        <color rgb="FFFF3399"/>
      </top>
      <bottom style="thin">
        <color rgb="FF993366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993366"/>
      </top>
      <bottom style="thin">
        <color rgb="FF99336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993366"/>
      </bottom>
      <diagonal/>
    </border>
    <border>
      <left/>
      <right/>
      <top/>
      <bottom style="thin">
        <color rgb="FF993366"/>
      </bottom>
      <diagonal/>
    </border>
    <border>
      <left style="medium">
        <color rgb="FF000000"/>
      </left>
      <right style="medium">
        <color rgb="FF000000"/>
      </right>
      <top/>
      <bottom style="thin">
        <color rgb="FF993366"/>
      </bottom>
      <diagonal/>
    </border>
    <border>
      <left style="medium">
        <color rgb="FFFF3399"/>
      </left>
      <right/>
      <top style="thin">
        <color rgb="FF993366"/>
      </top>
      <bottom style="medium">
        <color rgb="FFFF3399"/>
      </bottom>
      <diagonal/>
    </border>
    <border>
      <left/>
      <right style="thin">
        <color rgb="FF993366"/>
      </right>
      <top style="thin">
        <color rgb="FF993366"/>
      </top>
      <bottom style="medium">
        <color rgb="FFFF3399"/>
      </bottom>
      <diagonal/>
    </border>
    <border>
      <left style="medium">
        <color rgb="FF000000"/>
      </left>
      <right/>
      <top style="thin">
        <color rgb="FF993366"/>
      </top>
      <bottom style="thin">
        <color rgb="FF993366"/>
      </bottom>
      <diagonal/>
    </border>
    <border>
      <left style="medium">
        <color rgb="FF000000"/>
      </left>
      <right style="medium">
        <color rgb="FF000000"/>
      </right>
      <top style="thin">
        <color rgb="FF993366"/>
      </top>
      <bottom style="thin">
        <color rgb="FF993366"/>
      </bottom>
      <diagonal/>
    </border>
    <border>
      <left style="medium">
        <color rgb="FF000000"/>
      </left>
      <right/>
      <top style="thin">
        <color rgb="FF993366"/>
      </top>
      <bottom/>
      <diagonal/>
    </border>
    <border>
      <left/>
      <right/>
      <top style="thin">
        <color rgb="FF993366"/>
      </top>
      <bottom/>
      <diagonal/>
    </border>
    <border>
      <left style="medium">
        <color rgb="FF000000"/>
      </left>
      <right style="medium">
        <color rgb="FF000000"/>
      </right>
      <top style="thin">
        <color rgb="FF993366"/>
      </top>
      <bottom/>
      <diagonal/>
    </border>
    <border>
      <left/>
      <right style="thin">
        <color rgb="FF99336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993366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833C0B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833C0B"/>
      </top>
      <bottom style="thin">
        <color rgb="FF833C0B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99336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993366"/>
      </top>
      <bottom style="medium">
        <color rgb="FF000000"/>
      </bottom>
      <diagonal/>
    </border>
    <border>
      <left style="medium">
        <color rgb="FF833C0B"/>
      </left>
      <right/>
      <top style="medium">
        <color rgb="FFFF3399"/>
      </top>
      <bottom style="medium">
        <color rgb="FFFF3399"/>
      </bottom>
      <diagonal/>
    </border>
    <border>
      <left/>
      <right/>
      <top style="medium">
        <color rgb="FFCC3399"/>
      </top>
      <bottom/>
      <diagonal/>
    </border>
    <border>
      <left/>
      <right/>
      <top style="medium">
        <color rgb="FFCC3399"/>
      </top>
      <bottom/>
      <diagonal/>
    </border>
    <border>
      <left/>
      <right/>
      <top style="medium">
        <color rgb="FFCC3399"/>
      </top>
      <bottom/>
      <diagonal/>
    </border>
    <border>
      <left/>
      <right/>
      <top style="medium">
        <color rgb="FFFF3399"/>
      </top>
      <bottom/>
      <diagonal/>
    </border>
    <border>
      <left style="medium">
        <color rgb="FFFF3399"/>
      </left>
      <right style="medium">
        <color rgb="FFFF3399"/>
      </right>
      <top style="medium">
        <color rgb="FFFF3399"/>
      </top>
      <bottom/>
      <diagonal/>
    </border>
    <border>
      <left style="medium">
        <color rgb="FFFF3399"/>
      </left>
      <right style="medium">
        <color rgb="FFFF3399"/>
      </right>
      <top/>
      <bottom/>
      <diagonal/>
    </border>
    <border>
      <left style="thin">
        <color rgb="FF993366"/>
      </left>
      <right style="thin">
        <color rgb="FF993366"/>
      </right>
      <top style="medium">
        <color rgb="FFFF3399"/>
      </top>
      <bottom/>
      <diagonal/>
    </border>
    <border>
      <left style="thin">
        <color rgb="FF993366"/>
      </left>
      <right/>
      <top style="medium">
        <color rgb="FFFF3399"/>
      </top>
      <bottom/>
      <diagonal/>
    </border>
    <border>
      <left style="medium">
        <color rgb="FFFF3399"/>
      </left>
      <right style="thin">
        <color rgb="FF993366"/>
      </right>
      <top style="medium">
        <color rgb="FFFF3399"/>
      </top>
      <bottom/>
      <diagonal/>
    </border>
    <border>
      <left style="medium">
        <color rgb="FFFF3399"/>
      </left>
      <right style="medium">
        <color rgb="FFFF3399"/>
      </right>
      <top style="medium">
        <color rgb="FFFF3399"/>
      </top>
      <bottom style="medium">
        <color rgb="FFFF3399"/>
      </bottom>
      <diagonal/>
    </border>
    <border>
      <left/>
      <right/>
      <top style="medium">
        <color rgb="FFFF3399"/>
      </top>
      <bottom style="medium">
        <color rgb="FFFF3399"/>
      </bottom>
      <diagonal/>
    </border>
    <border>
      <left style="medium">
        <color rgb="FFFF3399"/>
      </left>
      <right style="medium">
        <color rgb="FFFF3399"/>
      </right>
      <top/>
      <bottom style="thin">
        <color rgb="FF993366"/>
      </bottom>
      <diagonal/>
    </border>
    <border>
      <left/>
      <right/>
      <top/>
      <bottom style="thin">
        <color rgb="FF993366"/>
      </bottom>
      <diagonal/>
    </border>
    <border>
      <left style="medium">
        <color rgb="FFFF3399"/>
      </left>
      <right style="thin">
        <color rgb="FF993366"/>
      </right>
      <top/>
      <bottom style="thin">
        <color rgb="FF993366"/>
      </bottom>
      <diagonal/>
    </border>
    <border>
      <left style="medium">
        <color rgb="FFFF3399"/>
      </left>
      <right style="thin">
        <color rgb="FF993366"/>
      </right>
      <top style="thin">
        <color rgb="FF993366"/>
      </top>
      <bottom style="thin">
        <color rgb="FF993366"/>
      </bottom>
      <diagonal/>
    </border>
    <border>
      <left/>
      <right style="thin">
        <color rgb="FFFF7DBE"/>
      </right>
      <top/>
      <bottom/>
      <diagonal/>
    </border>
    <border>
      <left style="medium">
        <color rgb="FFFF3399"/>
      </left>
      <right style="thin">
        <color rgb="FF993366"/>
      </right>
      <top style="thin">
        <color rgb="FF993366"/>
      </top>
      <bottom/>
      <diagonal/>
    </border>
    <border>
      <left style="medium">
        <color rgb="FFFF3399"/>
      </left>
      <right style="thin">
        <color rgb="FF993366"/>
      </right>
      <top style="medium">
        <color rgb="FFFF3399"/>
      </top>
      <bottom style="thin">
        <color rgb="FF99336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FF3399"/>
      </left>
      <right style="thin">
        <color rgb="FF993366"/>
      </right>
      <top style="thin">
        <color rgb="FF993366"/>
      </top>
      <bottom style="medium">
        <color rgb="FFFF3399"/>
      </bottom>
      <diagonal/>
    </border>
    <border>
      <left/>
      <right style="thin">
        <color rgb="FF993366"/>
      </right>
      <top style="medium">
        <color rgb="FF000000"/>
      </top>
      <bottom/>
      <diagonal/>
    </border>
    <border>
      <left style="medium">
        <color rgb="FF7030A0"/>
      </left>
      <right style="thin">
        <color rgb="FF993366"/>
      </right>
      <top style="medium">
        <color rgb="FF000000"/>
      </top>
      <bottom/>
      <diagonal/>
    </border>
    <border>
      <left style="thin">
        <color rgb="FF993366"/>
      </left>
      <right style="thin">
        <color rgb="FF993366"/>
      </right>
      <top style="medium">
        <color rgb="FF000000"/>
      </top>
      <bottom/>
      <diagonal/>
    </border>
    <border>
      <left style="thin">
        <color rgb="FF993366"/>
      </left>
      <right style="medium">
        <color rgb="FF7030A0"/>
      </right>
      <top style="medium">
        <color rgb="FF000000"/>
      </top>
      <bottom/>
      <diagonal/>
    </border>
    <border>
      <left/>
      <right style="thin">
        <color rgb="FF993366"/>
      </right>
      <top style="medium">
        <color rgb="FF000000"/>
      </top>
      <bottom/>
      <diagonal/>
    </border>
    <border>
      <left style="thin">
        <color rgb="FF993366"/>
      </left>
      <right style="thin">
        <color rgb="FF993366"/>
      </right>
      <top style="medium">
        <color rgb="FF000000"/>
      </top>
      <bottom/>
      <diagonal/>
    </border>
    <border>
      <left style="medium">
        <color rgb="FF7030A0"/>
      </left>
      <right style="thin">
        <color rgb="FF993366"/>
      </right>
      <top style="medium">
        <color rgb="FF000000"/>
      </top>
      <bottom/>
      <diagonal/>
    </border>
    <border>
      <left style="thin">
        <color rgb="FF993366"/>
      </left>
      <right style="medium">
        <color rgb="FF7030A0"/>
      </right>
      <top style="medium">
        <color rgb="FF000000"/>
      </top>
      <bottom/>
      <diagonal/>
    </border>
    <border>
      <left style="thin">
        <color rgb="FF993366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993366"/>
      </right>
      <top style="medium">
        <color rgb="FFFF3399"/>
      </top>
      <bottom style="medium">
        <color rgb="FFFF3399"/>
      </bottom>
      <diagonal/>
    </border>
    <border>
      <left/>
      <right/>
      <top/>
      <bottom/>
      <diagonal/>
    </border>
    <border>
      <left/>
      <right style="medium">
        <color rgb="FFFF3399"/>
      </right>
      <top/>
      <bottom/>
      <diagonal/>
    </border>
    <border>
      <left/>
      <right style="thin">
        <color rgb="FF993366"/>
      </right>
      <top/>
      <bottom/>
      <diagonal/>
    </border>
    <border>
      <left style="thin">
        <color rgb="FFFF3399"/>
      </left>
      <right style="thin">
        <color rgb="FFFF3399"/>
      </right>
      <top style="thin">
        <color rgb="FFFF3399"/>
      </top>
      <bottom style="thin">
        <color rgb="FFFF3399"/>
      </bottom>
      <diagonal/>
    </border>
    <border>
      <left style="medium">
        <color rgb="FFFF3399"/>
      </left>
      <right style="medium">
        <color rgb="FFFF3399"/>
      </right>
      <top style="medium">
        <color rgb="FFFF3399"/>
      </top>
      <bottom style="thin">
        <color rgb="FFFF7DBE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993366"/>
      </bottom>
      <diagonal/>
    </border>
    <border>
      <left style="thin">
        <color rgb="FF993366"/>
      </left>
      <right style="thin">
        <color rgb="FF993366"/>
      </right>
      <top style="medium">
        <color rgb="FFFF3399"/>
      </top>
      <bottom style="medium">
        <color rgb="FFFF3399"/>
      </bottom>
      <diagonal/>
    </border>
    <border>
      <left style="thin">
        <color rgb="FF993366"/>
      </left>
      <right style="medium">
        <color rgb="FFFF3399"/>
      </right>
      <top style="medium">
        <color rgb="FFFF3399"/>
      </top>
      <bottom style="medium">
        <color rgb="FFFF3399"/>
      </bottom>
      <diagonal/>
    </border>
    <border>
      <left style="medium">
        <color rgb="FFFF3399"/>
      </left>
      <right style="thin">
        <color rgb="FF993366"/>
      </right>
      <top style="medium">
        <color rgb="FFFF3399"/>
      </top>
      <bottom style="medium">
        <color rgb="FFFF3399"/>
      </bottom>
      <diagonal/>
    </border>
    <border>
      <left style="thin">
        <color rgb="FF993366"/>
      </left>
      <right/>
      <top style="medium">
        <color rgb="FFFF3399"/>
      </top>
      <bottom style="medium">
        <color rgb="FFFF3399"/>
      </bottom>
      <diagonal/>
    </border>
    <border>
      <left style="medium">
        <color rgb="FFFF3399"/>
      </left>
      <right style="thin">
        <color rgb="FF993366"/>
      </right>
      <top/>
      <bottom style="thin">
        <color rgb="FF993366"/>
      </bottom>
      <diagonal/>
    </border>
    <border>
      <left style="thin">
        <color rgb="FF993366"/>
      </left>
      <right style="thin">
        <color rgb="FF993366"/>
      </right>
      <top/>
      <bottom style="thin">
        <color rgb="FF993366"/>
      </bottom>
      <diagonal/>
    </border>
    <border>
      <left style="thin">
        <color rgb="FF000000"/>
      </left>
      <right/>
      <top style="thin">
        <color rgb="FF000000"/>
      </top>
      <bottom style="thin">
        <color rgb="FF993366"/>
      </bottom>
      <diagonal/>
    </border>
    <border>
      <left/>
      <right/>
      <top style="thin">
        <color rgb="FF000000"/>
      </top>
      <bottom style="thin">
        <color rgb="FF993366"/>
      </bottom>
      <diagonal/>
    </border>
    <border>
      <left/>
      <right style="thin">
        <color rgb="FF993366"/>
      </right>
      <top style="thin">
        <color rgb="FF000000"/>
      </top>
      <bottom style="thin">
        <color rgb="FF993366"/>
      </bottom>
      <diagonal/>
    </border>
    <border>
      <left/>
      <right style="medium">
        <color rgb="FFFF3399"/>
      </right>
      <top style="medium">
        <color rgb="FFFF3399"/>
      </top>
      <bottom/>
      <diagonal/>
    </border>
    <border>
      <left/>
      <right style="medium">
        <color rgb="FFFF3399"/>
      </right>
      <top/>
      <bottom/>
      <diagonal/>
    </border>
    <border>
      <left/>
      <right style="medium">
        <color rgb="FFFF3399"/>
      </right>
      <top/>
      <bottom style="medium">
        <color rgb="FFFF3399"/>
      </bottom>
      <diagonal/>
    </border>
    <border>
      <left/>
      <right style="thin">
        <color rgb="FF993366"/>
      </right>
      <top style="medium">
        <color rgb="FFFF3399"/>
      </top>
      <bottom style="medium">
        <color rgb="FFFF3399"/>
      </bottom>
      <diagonal/>
    </border>
    <border>
      <left style="medium">
        <color rgb="FFFF3399"/>
      </left>
      <right style="medium">
        <color rgb="FFFF3399"/>
      </right>
      <top style="thin">
        <color rgb="FFFF7DBE"/>
      </top>
      <bottom style="thin">
        <color rgb="FFFF7DBE"/>
      </bottom>
      <diagonal/>
    </border>
    <border>
      <left style="medium">
        <color rgb="FFFF3399"/>
      </left>
      <right style="medium">
        <color rgb="FFFF3399"/>
      </right>
      <top style="thin">
        <color rgb="FFFF7DBE"/>
      </top>
      <bottom style="medium">
        <color rgb="FFFF3399"/>
      </bottom>
      <diagonal/>
    </border>
    <border>
      <left style="thin">
        <color rgb="FF993366"/>
      </left>
      <right style="medium">
        <color rgb="FFFF3399"/>
      </right>
      <top/>
      <bottom style="thin">
        <color rgb="FF993366"/>
      </bottom>
      <diagonal/>
    </border>
    <border>
      <left/>
      <right style="thin">
        <color rgb="FF993366"/>
      </right>
      <top/>
      <bottom style="thin">
        <color rgb="FF993366"/>
      </bottom>
      <diagonal/>
    </border>
    <border>
      <left style="thin">
        <color rgb="FF993366"/>
      </left>
      <right/>
      <top/>
      <bottom style="thin">
        <color rgb="FF993366"/>
      </bottom>
      <diagonal/>
    </border>
    <border>
      <left/>
      <right style="medium">
        <color rgb="FFFF3399"/>
      </right>
      <top style="medium">
        <color rgb="FFFF3399"/>
      </top>
      <bottom style="thin">
        <color rgb="FF993366"/>
      </bottom>
      <diagonal/>
    </border>
    <border>
      <left/>
      <right style="medium">
        <color rgb="FFFF3399"/>
      </right>
      <top style="thin">
        <color rgb="FF993366"/>
      </top>
      <bottom style="thin">
        <color rgb="FF993366"/>
      </bottom>
      <diagonal/>
    </border>
    <border>
      <left/>
      <right style="medium">
        <color rgb="FFFF3399"/>
      </right>
      <top style="thin">
        <color rgb="FF993366"/>
      </top>
      <bottom/>
      <diagonal/>
    </border>
    <border>
      <left style="thin">
        <color rgb="FF993366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70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/>
    </xf>
    <xf numFmtId="0" fontId="7" fillId="2" borderId="9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 wrapText="1"/>
    </xf>
    <xf numFmtId="0" fontId="5" fillId="5" borderId="33" xfId="0" applyFont="1" applyFill="1" applyBorder="1" applyAlignment="1">
      <alignment horizontal="center" vertical="center" textRotation="90" wrapText="1"/>
    </xf>
    <xf numFmtId="0" fontId="5" fillId="5" borderId="34" xfId="0" applyFont="1" applyFill="1" applyBorder="1" applyAlignment="1">
      <alignment horizontal="center" vertical="center" textRotation="90" wrapText="1"/>
    </xf>
    <xf numFmtId="0" fontId="5" fillId="5" borderId="35" xfId="0" applyFont="1" applyFill="1" applyBorder="1" applyAlignment="1">
      <alignment horizontal="center" vertical="center" textRotation="90" wrapText="1"/>
    </xf>
    <xf numFmtId="0" fontId="5" fillId="5" borderId="36" xfId="0" applyFont="1" applyFill="1" applyBorder="1" applyAlignment="1">
      <alignment horizontal="center" vertical="center" textRotation="90" wrapText="1"/>
    </xf>
    <xf numFmtId="0" fontId="6" fillId="2" borderId="33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5" fillId="0" borderId="45" xfId="0" applyFont="1" applyBorder="1" applyAlignment="1">
      <alignment horizontal="center"/>
    </xf>
    <xf numFmtId="0" fontId="5" fillId="0" borderId="46" xfId="0" applyFont="1" applyBorder="1"/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10" borderId="56" xfId="0" applyFont="1" applyFill="1" applyBorder="1" applyAlignment="1">
      <alignment horizontal="center"/>
    </xf>
    <xf numFmtId="0" fontId="5" fillId="10" borderId="57" xfId="0" applyFont="1" applyFill="1" applyBorder="1"/>
    <xf numFmtId="0" fontId="3" fillId="10" borderId="58" xfId="0" applyFont="1" applyFill="1" applyBorder="1" applyAlignment="1">
      <alignment horizontal="center"/>
    </xf>
    <xf numFmtId="0" fontId="3" fillId="10" borderId="48" xfId="0" applyFont="1" applyFill="1" applyBorder="1" applyAlignment="1">
      <alignment horizontal="center"/>
    </xf>
    <xf numFmtId="0" fontId="3" fillId="10" borderId="59" xfId="0" applyFont="1" applyFill="1" applyBorder="1" applyAlignment="1">
      <alignment horizontal="center"/>
    </xf>
    <xf numFmtId="0" fontId="3" fillId="10" borderId="60" xfId="0" applyFont="1" applyFill="1" applyBorder="1" applyAlignment="1">
      <alignment horizontal="center"/>
    </xf>
    <xf numFmtId="0" fontId="3" fillId="10" borderId="57" xfId="0" applyFont="1" applyFill="1" applyBorder="1" applyAlignment="1">
      <alignment horizontal="center"/>
    </xf>
    <xf numFmtId="0" fontId="3" fillId="10" borderId="61" xfId="0" applyFont="1" applyFill="1" applyBorder="1" applyAlignment="1">
      <alignment horizontal="center"/>
    </xf>
    <xf numFmtId="0" fontId="5" fillId="10" borderId="58" xfId="0" applyFont="1" applyFill="1" applyBorder="1" applyAlignment="1">
      <alignment horizontal="center" vertical="center"/>
    </xf>
    <xf numFmtId="0" fontId="5" fillId="10" borderId="62" xfId="0" applyFont="1" applyFill="1" applyBorder="1" applyAlignment="1">
      <alignment horizontal="center" vertical="center"/>
    </xf>
    <xf numFmtId="0" fontId="5" fillId="10" borderId="63" xfId="0" applyFont="1" applyFill="1" applyBorder="1" applyAlignment="1">
      <alignment horizontal="center" vertical="center"/>
    </xf>
    <xf numFmtId="0" fontId="5" fillId="0" borderId="56" xfId="0" applyFont="1" applyBorder="1" applyAlignment="1">
      <alignment horizontal="center"/>
    </xf>
    <xf numFmtId="0" fontId="10" fillId="0" borderId="0" xfId="0" applyFont="1"/>
    <xf numFmtId="0" fontId="3" fillId="0" borderId="52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3" fillId="0" borderId="60" xfId="0" applyFont="1" applyBorder="1" applyAlignment="1">
      <alignment horizontal="center"/>
    </xf>
    <xf numFmtId="0" fontId="3" fillId="0" borderId="65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5" fillId="0" borderId="62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65" xfId="0" applyFont="1" applyBorder="1"/>
    <xf numFmtId="0" fontId="5" fillId="10" borderId="67" xfId="0" applyFont="1" applyFill="1" applyBorder="1" applyAlignment="1">
      <alignment horizontal="center"/>
    </xf>
    <xf numFmtId="0" fontId="5" fillId="10" borderId="68" xfId="0" applyFont="1" applyFill="1" applyBorder="1"/>
    <xf numFmtId="0" fontId="3" fillId="10" borderId="69" xfId="0" applyFont="1" applyFill="1" applyBorder="1" applyAlignment="1">
      <alignment horizontal="center"/>
    </xf>
    <xf numFmtId="0" fontId="3" fillId="10" borderId="70" xfId="0" applyFont="1" applyFill="1" applyBorder="1" applyAlignment="1">
      <alignment horizontal="center"/>
    </xf>
    <xf numFmtId="0" fontId="3" fillId="10" borderId="71" xfId="0" applyFont="1" applyFill="1" applyBorder="1" applyAlignment="1">
      <alignment horizontal="center"/>
    </xf>
    <xf numFmtId="0" fontId="3" fillId="10" borderId="68" xfId="0" applyFont="1" applyFill="1" applyBorder="1" applyAlignment="1">
      <alignment horizontal="center"/>
    </xf>
    <xf numFmtId="0" fontId="3" fillId="10" borderId="72" xfId="0" applyFont="1" applyFill="1" applyBorder="1" applyAlignment="1">
      <alignment horizontal="center"/>
    </xf>
    <xf numFmtId="0" fontId="5" fillId="10" borderId="73" xfId="0" applyFont="1" applyFill="1" applyBorder="1" applyAlignment="1">
      <alignment horizontal="center" vertical="center"/>
    </xf>
    <xf numFmtId="0" fontId="5" fillId="10" borderId="74" xfId="0" applyFont="1" applyFill="1" applyBorder="1" applyAlignment="1">
      <alignment horizontal="center" vertical="center"/>
    </xf>
    <xf numFmtId="0" fontId="5" fillId="10" borderId="75" xfId="0" applyFont="1" applyFill="1" applyBorder="1" applyAlignment="1">
      <alignment horizontal="center" vertical="center"/>
    </xf>
    <xf numFmtId="0" fontId="5" fillId="10" borderId="7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2" borderId="79" xfId="0" applyFont="1" applyFill="1" applyBorder="1" applyAlignment="1">
      <alignment horizontal="center" vertical="center"/>
    </xf>
    <xf numFmtId="9" fontId="5" fillId="6" borderId="58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9" fontId="5" fillId="7" borderId="58" xfId="0" applyNumberFormat="1" applyFont="1" applyFill="1" applyBorder="1" applyAlignment="1">
      <alignment horizontal="center"/>
    </xf>
    <xf numFmtId="9" fontId="5" fillId="8" borderId="58" xfId="0" applyNumberFormat="1" applyFont="1" applyFill="1" applyBorder="1" applyAlignment="1">
      <alignment horizontal="center"/>
    </xf>
    <xf numFmtId="9" fontId="5" fillId="9" borderId="58" xfId="0" applyNumberFormat="1" applyFont="1" applyFill="1" applyBorder="1" applyAlignment="1">
      <alignment horizontal="center"/>
    </xf>
    <xf numFmtId="0" fontId="5" fillId="0" borderId="94" xfId="0" applyFont="1" applyBorder="1" applyAlignment="1">
      <alignment horizontal="center"/>
    </xf>
    <xf numFmtId="9" fontId="5" fillId="0" borderId="95" xfId="0" applyNumberFormat="1" applyFont="1" applyBorder="1" applyAlignment="1">
      <alignment horizontal="center"/>
    </xf>
    <xf numFmtId="0" fontId="5" fillId="0" borderId="98" xfId="0" applyFont="1" applyBorder="1" applyAlignment="1">
      <alignment horizontal="center"/>
    </xf>
    <xf numFmtId="0" fontId="5" fillId="0" borderId="0" xfId="0" applyFont="1"/>
    <xf numFmtId="0" fontId="5" fillId="0" borderId="101" xfId="0" applyFont="1" applyBorder="1" applyAlignment="1">
      <alignment horizontal="center"/>
    </xf>
    <xf numFmtId="0" fontId="5" fillId="0" borderId="103" xfId="0" applyFont="1" applyBorder="1" applyAlignment="1">
      <alignment horizontal="center" vertical="center" wrapText="1"/>
    </xf>
    <xf numFmtId="0" fontId="5" fillId="0" borderId="104" xfId="0" applyFont="1" applyBorder="1" applyAlignment="1">
      <alignment horizontal="center" vertical="center" wrapText="1"/>
    </xf>
    <xf numFmtId="0" fontId="5" fillId="0" borderId="105" xfId="0" applyFont="1" applyBorder="1" applyAlignment="1">
      <alignment horizontal="center" vertical="center" wrapText="1"/>
    </xf>
    <xf numFmtId="0" fontId="5" fillId="0" borderId="106" xfId="0" applyFont="1" applyBorder="1" applyAlignment="1">
      <alignment horizontal="center" vertical="center" wrapText="1"/>
    </xf>
    <xf numFmtId="0" fontId="12" fillId="5" borderId="107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6" borderId="113" xfId="0" applyFont="1" applyFill="1" applyBorder="1" applyAlignment="1">
      <alignment horizontal="left"/>
    </xf>
    <xf numFmtId="0" fontId="5" fillId="0" borderId="114" xfId="0" applyFont="1" applyBorder="1" applyAlignment="1">
      <alignment horizontal="center"/>
    </xf>
    <xf numFmtId="0" fontId="3" fillId="0" borderId="115" xfId="0" applyFont="1" applyBorder="1" applyAlignment="1">
      <alignment horizontal="center"/>
    </xf>
    <xf numFmtId="0" fontId="5" fillId="7" borderId="98" xfId="0" applyFont="1" applyFill="1" applyBorder="1" applyAlignment="1">
      <alignment vertical="center"/>
    </xf>
    <xf numFmtId="0" fontId="3" fillId="10" borderId="98" xfId="0" applyFont="1" applyFill="1" applyBorder="1" applyAlignment="1">
      <alignment horizontal="center"/>
    </xf>
    <xf numFmtId="0" fontId="5" fillId="8" borderId="116" xfId="0" applyFont="1" applyFill="1" applyBorder="1" applyAlignment="1">
      <alignment horizontal="left"/>
    </xf>
    <xf numFmtId="0" fontId="5" fillId="0" borderId="117" xfId="0" applyFont="1" applyBorder="1" applyAlignment="1">
      <alignment horizontal="center"/>
    </xf>
    <xf numFmtId="0" fontId="3" fillId="0" borderId="118" xfId="0" applyFont="1" applyBorder="1" applyAlignment="1">
      <alignment horizontal="center"/>
    </xf>
    <xf numFmtId="0" fontId="5" fillId="9" borderId="119" xfId="0" applyFont="1" applyFill="1" applyBorder="1" applyAlignment="1">
      <alignment horizontal="left"/>
    </xf>
    <xf numFmtId="0" fontId="3" fillId="10" borderId="120" xfId="0" applyFont="1" applyFill="1" applyBorder="1" applyAlignment="1">
      <alignment horizontal="center"/>
    </xf>
    <xf numFmtId="0" fontId="3" fillId="10" borderId="121" xfId="0" applyFont="1" applyFill="1" applyBorder="1" applyAlignment="1">
      <alignment horizontal="center"/>
    </xf>
    <xf numFmtId="0" fontId="8" fillId="4" borderId="9" xfId="0" applyFont="1" applyFill="1" applyBorder="1" applyAlignment="1">
      <alignment vertical="center" wrapText="1"/>
    </xf>
    <xf numFmtId="0" fontId="8" fillId="4" borderId="126" xfId="0" applyFont="1" applyFill="1" applyBorder="1" applyAlignment="1">
      <alignment vertical="center" wrapText="1"/>
    </xf>
    <xf numFmtId="0" fontId="8" fillId="4" borderId="127" xfId="0" applyFont="1" applyFill="1" applyBorder="1" applyAlignment="1">
      <alignment vertical="center" wrapText="1"/>
    </xf>
    <xf numFmtId="0" fontId="8" fillId="2" borderId="32" xfId="0" applyFont="1" applyFill="1" applyBorder="1" applyAlignment="1">
      <alignment vertical="center" wrapText="1"/>
    </xf>
    <xf numFmtId="0" fontId="5" fillId="5" borderId="128" xfId="0" applyFont="1" applyFill="1" applyBorder="1" applyAlignment="1">
      <alignment horizontal="center" vertical="center" textRotation="90" wrapText="1"/>
    </xf>
    <xf numFmtId="0" fontId="5" fillId="5" borderId="32" xfId="0" applyFont="1" applyFill="1" applyBorder="1" applyAlignment="1">
      <alignment horizontal="center" vertical="center" textRotation="90" wrapText="1"/>
    </xf>
    <xf numFmtId="0" fontId="5" fillId="5" borderId="129" xfId="0" applyFont="1" applyFill="1" applyBorder="1" applyAlignment="1">
      <alignment horizontal="center" vertical="center" textRotation="90" wrapText="1"/>
    </xf>
    <xf numFmtId="0" fontId="5" fillId="5" borderId="130" xfId="0" applyFont="1" applyFill="1" applyBorder="1" applyAlignment="1">
      <alignment horizontal="center" vertical="center" textRotation="90" wrapText="1"/>
    </xf>
    <xf numFmtId="0" fontId="5" fillId="5" borderId="131" xfId="0" applyFont="1" applyFill="1" applyBorder="1" applyAlignment="1">
      <alignment horizontal="center" vertical="center" textRotation="90" wrapText="1"/>
    </xf>
    <xf numFmtId="0" fontId="6" fillId="2" borderId="132" xfId="0" applyFont="1" applyFill="1" applyBorder="1" applyAlignment="1">
      <alignment horizontal="center" vertical="center"/>
    </xf>
    <xf numFmtId="0" fontId="6" fillId="2" borderId="133" xfId="0" applyFont="1" applyFill="1" applyBorder="1" applyAlignment="1">
      <alignment horizontal="center" vertical="center"/>
    </xf>
    <xf numFmtId="0" fontId="3" fillId="0" borderId="134" xfId="0" applyFont="1" applyBorder="1" applyAlignment="1">
      <alignment horizontal="center"/>
    </xf>
    <xf numFmtId="0" fontId="3" fillId="0" borderId="135" xfId="0" applyFont="1" applyBorder="1" applyAlignment="1">
      <alignment horizontal="center"/>
    </xf>
    <xf numFmtId="0" fontId="3" fillId="0" borderId="136" xfId="0" applyFont="1" applyBorder="1" applyAlignment="1">
      <alignment horizontal="center"/>
    </xf>
    <xf numFmtId="0" fontId="3" fillId="10" borderId="62" xfId="0" applyFont="1" applyFill="1" applyBorder="1" applyAlignment="1">
      <alignment horizontal="center"/>
    </xf>
    <xf numFmtId="0" fontId="3" fillId="10" borderId="63" xfId="0" applyFont="1" applyFill="1" applyBorder="1" applyAlignment="1">
      <alignment horizontal="center"/>
    </xf>
    <xf numFmtId="0" fontId="3" fillId="10" borderId="137" xfId="0" applyFont="1" applyFill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0" borderId="66" xfId="0" applyFont="1" applyBorder="1" applyAlignment="1">
      <alignment horizontal="center"/>
    </xf>
    <xf numFmtId="0" fontId="3" fillId="0" borderId="137" xfId="0" applyFont="1" applyBorder="1" applyAlignment="1">
      <alignment horizontal="center"/>
    </xf>
    <xf numFmtId="0" fontId="3" fillId="0" borderId="138" xfId="0" applyFont="1" applyBorder="1"/>
    <xf numFmtId="0" fontId="3" fillId="10" borderId="74" xfId="0" applyFont="1" applyFill="1" applyBorder="1" applyAlignment="1">
      <alignment horizontal="center"/>
    </xf>
    <xf numFmtId="0" fontId="3" fillId="10" borderId="75" xfId="0" applyFont="1" applyFill="1" applyBorder="1" applyAlignment="1">
      <alignment horizontal="center"/>
    </xf>
    <xf numFmtId="0" fontId="3" fillId="10" borderId="139" xfId="0" applyFont="1" applyFill="1" applyBorder="1" applyAlignment="1">
      <alignment horizontal="center"/>
    </xf>
    <xf numFmtId="0" fontId="6" fillId="2" borderId="140" xfId="0" applyFont="1" applyFill="1" applyBorder="1" applyAlignment="1">
      <alignment horizontal="center" vertical="center"/>
    </xf>
    <xf numFmtId="9" fontId="5" fillId="6" borderId="137" xfId="0" applyNumberFormat="1" applyFont="1" applyFill="1" applyBorder="1" applyAlignment="1">
      <alignment horizontal="center"/>
    </xf>
    <xf numFmtId="9" fontId="5" fillId="7" borderId="137" xfId="0" applyNumberFormat="1" applyFont="1" applyFill="1" applyBorder="1" applyAlignment="1">
      <alignment horizontal="center"/>
    </xf>
    <xf numFmtId="9" fontId="5" fillId="8" borderId="137" xfId="0" applyNumberFormat="1" applyFont="1" applyFill="1" applyBorder="1" applyAlignment="1">
      <alignment horizontal="center"/>
    </xf>
    <xf numFmtId="9" fontId="5" fillId="9" borderId="137" xfId="0" applyNumberFormat="1" applyFont="1" applyFill="1" applyBorder="1" applyAlignment="1">
      <alignment horizontal="center"/>
    </xf>
    <xf numFmtId="9" fontId="5" fillId="0" borderId="144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/>
    </xf>
    <xf numFmtId="9" fontId="3" fillId="0" borderId="0" xfId="0" applyNumberFormat="1" applyFont="1"/>
    <xf numFmtId="0" fontId="5" fillId="2" borderId="145" xfId="0" applyFont="1" applyFill="1" applyBorder="1" applyAlignment="1">
      <alignment horizontal="center" vertical="center" wrapText="1"/>
    </xf>
    <xf numFmtId="0" fontId="5" fillId="2" borderId="146" xfId="0" applyFont="1" applyFill="1" applyBorder="1" applyAlignment="1">
      <alignment horizontal="center" vertical="center" wrapText="1"/>
    </xf>
    <xf numFmtId="0" fontId="5" fillId="2" borderId="147" xfId="0" applyFont="1" applyFill="1" applyBorder="1" applyAlignment="1">
      <alignment horizontal="center" vertical="center" wrapText="1"/>
    </xf>
    <xf numFmtId="0" fontId="5" fillId="2" borderId="148" xfId="0" applyFont="1" applyFill="1" applyBorder="1" applyAlignment="1">
      <alignment horizontal="center" vertical="center" wrapText="1"/>
    </xf>
    <xf numFmtId="0" fontId="5" fillId="0" borderId="149" xfId="0" applyFont="1" applyBorder="1" applyAlignment="1">
      <alignment horizontal="center" vertical="center" wrapText="1"/>
    </xf>
    <xf numFmtId="0" fontId="5" fillId="0" borderId="150" xfId="0" applyFont="1" applyBorder="1" applyAlignment="1">
      <alignment horizontal="center" vertical="center" wrapText="1"/>
    </xf>
    <xf numFmtId="0" fontId="5" fillId="0" borderId="151" xfId="0" applyFont="1" applyBorder="1" applyAlignment="1">
      <alignment horizontal="center" vertical="center" wrapText="1"/>
    </xf>
    <xf numFmtId="0" fontId="5" fillId="0" borderId="152" xfId="0" applyFont="1" applyBorder="1" applyAlignment="1">
      <alignment horizontal="center" vertical="center" wrapText="1"/>
    </xf>
    <xf numFmtId="0" fontId="5" fillId="0" borderId="153" xfId="0" applyFont="1" applyBorder="1" applyAlignment="1">
      <alignment horizontal="center" vertical="center" wrapText="1"/>
    </xf>
    <xf numFmtId="0" fontId="5" fillId="2" borderId="154" xfId="0" applyFont="1" applyFill="1" applyBorder="1" applyAlignment="1">
      <alignment vertical="center"/>
    </xf>
    <xf numFmtId="0" fontId="5" fillId="2" borderId="155" xfId="0" applyFont="1" applyFill="1" applyBorder="1" applyAlignment="1">
      <alignment vertical="center"/>
    </xf>
    <xf numFmtId="0" fontId="5" fillId="2" borderId="156" xfId="0" applyFont="1" applyFill="1" applyBorder="1" applyAlignment="1">
      <alignment vertical="center"/>
    </xf>
    <xf numFmtId="0" fontId="3" fillId="0" borderId="159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6" fillId="2" borderId="164" xfId="0" applyFont="1" applyFill="1" applyBorder="1" applyAlignment="1">
      <alignment horizontal="center" vertical="center"/>
    </xf>
    <xf numFmtId="0" fontId="5" fillId="0" borderId="165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6" borderId="168" xfId="0" applyFont="1" applyFill="1" applyBorder="1" applyAlignment="1">
      <alignment horizontal="left"/>
    </xf>
    <xf numFmtId="0" fontId="5" fillId="0" borderId="113" xfId="0" applyFont="1" applyBorder="1" applyAlignment="1">
      <alignment horizontal="center"/>
    </xf>
    <xf numFmtId="0" fontId="5" fillId="8" borderId="169" xfId="0" applyFont="1" applyFill="1" applyBorder="1" applyAlignment="1">
      <alignment horizontal="left"/>
    </xf>
    <xf numFmtId="0" fontId="5" fillId="0" borderId="116" xfId="0" applyFont="1" applyBorder="1" applyAlignment="1">
      <alignment horizontal="center"/>
    </xf>
    <xf numFmtId="0" fontId="5" fillId="9" borderId="170" xfId="0" applyFont="1" applyFill="1" applyBorder="1" applyAlignment="1">
      <alignment horizontal="left"/>
    </xf>
    <xf numFmtId="0" fontId="5" fillId="5" borderId="171" xfId="0" applyFont="1" applyFill="1" applyBorder="1" applyAlignment="1">
      <alignment horizontal="center" vertical="center" wrapText="1"/>
    </xf>
    <xf numFmtId="0" fontId="5" fillId="5" borderId="172" xfId="0" applyFont="1" applyFill="1" applyBorder="1" applyAlignment="1">
      <alignment horizontal="center" vertical="center" textRotation="90" wrapText="1"/>
    </xf>
    <xf numFmtId="0" fontId="5" fillId="5" borderId="173" xfId="0" applyFont="1" applyFill="1" applyBorder="1" applyAlignment="1">
      <alignment horizontal="center" vertical="center" textRotation="90" wrapText="1"/>
    </xf>
    <xf numFmtId="0" fontId="5" fillId="5" borderId="174" xfId="0" applyFont="1" applyFill="1" applyBorder="1" applyAlignment="1">
      <alignment horizontal="center" vertical="center" textRotation="90" wrapText="1"/>
    </xf>
    <xf numFmtId="0" fontId="5" fillId="5" borderId="175" xfId="0" applyFont="1" applyFill="1" applyBorder="1" applyAlignment="1">
      <alignment horizontal="center" vertical="center" textRotation="90" wrapText="1"/>
    </xf>
    <xf numFmtId="0" fontId="6" fillId="2" borderId="63" xfId="0" applyFont="1" applyFill="1" applyBorder="1" applyAlignment="1">
      <alignment horizontal="center" vertical="center"/>
    </xf>
    <xf numFmtId="0" fontId="6" fillId="2" borderId="176" xfId="0" applyFont="1" applyFill="1" applyBorder="1" applyAlignment="1">
      <alignment horizontal="center" vertical="center"/>
    </xf>
    <xf numFmtId="0" fontId="6" fillId="2" borderId="177" xfId="0" applyFont="1" applyFill="1" applyBorder="1" applyAlignment="1">
      <alignment horizontal="center" vertical="center"/>
    </xf>
    <xf numFmtId="0" fontId="6" fillId="2" borderId="53" xfId="0" applyFont="1" applyFill="1" applyBorder="1" applyAlignment="1">
      <alignment horizontal="center" vertical="center"/>
    </xf>
    <xf numFmtId="9" fontId="5" fillId="6" borderId="62" xfId="0" applyNumberFormat="1" applyFont="1" applyFill="1" applyBorder="1" applyAlignment="1">
      <alignment horizontal="center"/>
    </xf>
    <xf numFmtId="9" fontId="5" fillId="7" borderId="62" xfId="0" applyNumberFormat="1" applyFont="1" applyFill="1" applyBorder="1" applyAlignment="1">
      <alignment horizontal="center"/>
    </xf>
    <xf numFmtId="9" fontId="5" fillId="8" borderId="62" xfId="0" applyNumberFormat="1" applyFont="1" applyFill="1" applyBorder="1" applyAlignment="1">
      <alignment horizontal="center"/>
    </xf>
    <xf numFmtId="9" fontId="5" fillId="9" borderId="62" xfId="0" applyNumberFormat="1" applyFont="1" applyFill="1" applyBorder="1" applyAlignment="1">
      <alignment horizontal="center"/>
    </xf>
    <xf numFmtId="9" fontId="5" fillId="0" borderId="74" xfId="0" applyNumberFormat="1" applyFont="1" applyBorder="1" applyAlignment="1">
      <alignment horizontal="center"/>
    </xf>
    <xf numFmtId="0" fontId="5" fillId="5" borderId="184" xfId="0" applyFont="1" applyFill="1" applyBorder="1" applyAlignment="1">
      <alignment horizontal="center" vertical="center" textRotation="90" wrapText="1"/>
    </xf>
    <xf numFmtId="0" fontId="5" fillId="0" borderId="185" xfId="0" applyFont="1" applyBorder="1" applyAlignment="1">
      <alignment horizontal="center" vertical="center"/>
    </xf>
    <xf numFmtId="0" fontId="5" fillId="0" borderId="186" xfId="0" applyFont="1" applyBorder="1" applyAlignment="1">
      <alignment horizontal="center" vertical="center"/>
    </xf>
    <xf numFmtId="0" fontId="6" fillId="2" borderId="187" xfId="0" applyFont="1" applyFill="1" applyBorder="1" applyAlignment="1">
      <alignment horizontal="center" vertical="center"/>
    </xf>
    <xf numFmtId="0" fontId="6" fillId="2" borderId="188" xfId="0" applyFont="1" applyFill="1" applyBorder="1" applyAlignment="1">
      <alignment horizontal="center" vertical="center"/>
    </xf>
    <xf numFmtId="0" fontId="6" fillId="2" borderId="189" xfId="0" applyFont="1" applyFill="1" applyBorder="1" applyAlignment="1">
      <alignment horizontal="center" vertical="center"/>
    </xf>
    <xf numFmtId="0" fontId="5" fillId="0" borderId="190" xfId="0" applyFont="1" applyBorder="1" applyAlignment="1">
      <alignment horizontal="center" vertical="center"/>
    </xf>
    <xf numFmtId="0" fontId="5" fillId="0" borderId="191" xfId="0" applyFont="1" applyBorder="1" applyAlignment="1">
      <alignment horizontal="center" vertical="center"/>
    </xf>
    <xf numFmtId="0" fontId="5" fillId="0" borderId="192" xfId="0" applyFont="1" applyBorder="1" applyAlignment="1">
      <alignment horizontal="center" vertical="center"/>
    </xf>
    <xf numFmtId="0" fontId="5" fillId="0" borderId="193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6" fillId="2" borderId="77" xfId="0" applyFont="1" applyFill="1" applyBorder="1" applyAlignment="1">
      <alignment horizontal="center" vertical="center"/>
    </xf>
    <xf numFmtId="0" fontId="2" fillId="0" borderId="78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2" borderId="4" xfId="0" applyFont="1" applyFill="1" applyBorder="1" applyAlignment="1">
      <alignment horizontal="center"/>
    </xf>
    <xf numFmtId="0" fontId="2" fillId="0" borderId="5" xfId="0" applyFont="1" applyBorder="1"/>
    <xf numFmtId="0" fontId="5" fillId="0" borderId="6" xfId="0" applyFont="1" applyBorder="1" applyAlignment="1">
      <alignment horizontal="center"/>
    </xf>
    <xf numFmtId="0" fontId="6" fillId="2" borderId="8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40" xfId="0" applyFont="1" applyBorder="1"/>
    <xf numFmtId="0" fontId="8" fillId="3" borderId="10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8" fillId="3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2" fillId="0" borderId="20" xfId="0" applyFont="1" applyBorder="1"/>
    <xf numFmtId="0" fontId="0" fillId="0" borderId="0" xfId="0"/>
    <xf numFmtId="0" fontId="2" fillId="0" borderId="21" xfId="0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9" fillId="2" borderId="8" xfId="0" applyFont="1" applyFill="1" applyBorder="1" applyAlignment="1">
      <alignment horizontal="center" vertical="center" textRotation="90" wrapText="1"/>
    </xf>
    <xf numFmtId="0" fontId="8" fillId="4" borderId="18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8" fillId="4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2" fillId="0" borderId="25" xfId="0" applyFont="1" applyBorder="1"/>
    <xf numFmtId="0" fontId="5" fillId="6" borderId="37" xfId="0" applyFont="1" applyFill="1" applyBorder="1" applyAlignment="1">
      <alignment horizontal="center" vertical="center" textRotation="90" wrapText="1"/>
    </xf>
    <xf numFmtId="0" fontId="2" fillId="0" borderId="42" xfId="0" applyFont="1" applyBorder="1"/>
    <xf numFmtId="0" fontId="5" fillId="7" borderId="38" xfId="0" applyFont="1" applyFill="1" applyBorder="1" applyAlignment="1">
      <alignment horizontal="center" vertical="center" textRotation="90" wrapText="1"/>
    </xf>
    <xf numFmtId="0" fontId="2" fillId="0" borderId="43" xfId="0" applyFont="1" applyBorder="1"/>
    <xf numFmtId="0" fontId="8" fillId="4" borderId="27" xfId="0" applyFont="1" applyFill="1" applyBorder="1" applyAlignment="1">
      <alignment horizontal="center" vertical="center" wrapText="1"/>
    </xf>
    <xf numFmtId="0" fontId="2" fillId="0" borderId="28" xfId="0" applyFont="1" applyBorder="1"/>
    <xf numFmtId="0" fontId="5" fillId="8" borderId="37" xfId="0" applyFont="1" applyFill="1" applyBorder="1" applyAlignment="1">
      <alignment horizontal="center" vertical="center" textRotation="90" wrapText="1"/>
    </xf>
    <xf numFmtId="0" fontId="5" fillId="9" borderId="39" xfId="0" applyFont="1" applyFill="1" applyBorder="1" applyAlignment="1">
      <alignment horizontal="center" vertical="center" textRotation="90" wrapText="1"/>
    </xf>
    <xf numFmtId="0" fontId="2" fillId="0" borderId="44" xfId="0" applyFont="1" applyBorder="1"/>
    <xf numFmtId="0" fontId="11" fillId="11" borderId="80" xfId="0" applyFont="1" applyFill="1" applyBorder="1" applyAlignment="1">
      <alignment horizontal="center" vertical="center"/>
    </xf>
    <xf numFmtId="0" fontId="2" fillId="0" borderId="81" xfId="0" applyFont="1" applyBorder="1"/>
    <xf numFmtId="0" fontId="2" fillId="0" borderId="82" xfId="0" applyFont="1" applyBorder="1"/>
    <xf numFmtId="0" fontId="6" fillId="2" borderId="84" xfId="0" applyFont="1" applyFill="1" applyBorder="1" applyAlignment="1">
      <alignment horizontal="center" vertical="center"/>
    </xf>
    <xf numFmtId="0" fontId="2" fillId="0" borderId="85" xfId="0" applyFont="1" applyBorder="1"/>
    <xf numFmtId="0" fontId="2" fillId="0" borderId="87" xfId="0" applyFont="1" applyBorder="1"/>
    <xf numFmtId="0" fontId="2" fillId="0" borderId="89" xfId="0" applyFont="1" applyBorder="1"/>
    <xf numFmtId="0" fontId="2" fillId="0" borderId="90" xfId="0" applyFont="1" applyBorder="1"/>
    <xf numFmtId="0" fontId="6" fillId="2" borderId="86" xfId="0" applyFont="1" applyFill="1" applyBorder="1" applyAlignment="1">
      <alignment horizontal="center" vertical="center" wrapText="1"/>
    </xf>
    <xf numFmtId="0" fontId="2" fillId="0" borderId="88" xfId="0" applyFont="1" applyBorder="1"/>
    <xf numFmtId="0" fontId="2" fillId="0" borderId="91" xfId="0" applyFont="1" applyBorder="1"/>
    <xf numFmtId="0" fontId="6" fillId="11" borderId="80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5" fillId="12" borderId="92" xfId="0" applyFont="1" applyFill="1" applyBorder="1" applyAlignment="1">
      <alignment horizontal="center"/>
    </xf>
    <xf numFmtId="0" fontId="2" fillId="0" borderId="93" xfId="0" applyFont="1" applyBorder="1"/>
    <xf numFmtId="0" fontId="5" fillId="0" borderId="95" xfId="0" applyFont="1" applyBorder="1" applyAlignment="1">
      <alignment horizontal="center" vertical="center"/>
    </xf>
    <xf numFmtId="0" fontId="2" fillId="0" borderId="96" xfId="0" applyFont="1" applyBorder="1"/>
    <xf numFmtId="0" fontId="5" fillId="0" borderId="80" xfId="0" applyFont="1" applyBorder="1" applyAlignment="1">
      <alignment horizontal="center" vertical="center"/>
    </xf>
    <xf numFmtId="0" fontId="2" fillId="0" borderId="102" xfId="0" applyFont="1" applyBorder="1"/>
    <xf numFmtId="0" fontId="5" fillId="0" borderId="89" xfId="0" applyFont="1" applyBorder="1" applyAlignment="1">
      <alignment horizontal="center" vertical="center"/>
    </xf>
    <xf numFmtId="0" fontId="2" fillId="0" borderId="108" xfId="0" applyFont="1" applyBorder="1"/>
    <xf numFmtId="0" fontId="5" fillId="2" borderId="109" xfId="0" applyFont="1" applyFill="1" applyBorder="1" applyAlignment="1">
      <alignment horizontal="center" vertical="center"/>
    </xf>
    <xf numFmtId="0" fontId="2" fillId="0" borderId="110" xfId="0" applyFont="1" applyBorder="1"/>
    <xf numFmtId="0" fontId="2" fillId="0" borderId="111" xfId="0" applyFont="1" applyBorder="1"/>
    <xf numFmtId="0" fontId="2" fillId="0" borderId="112" xfId="0" applyFont="1" applyBorder="1"/>
    <xf numFmtId="0" fontId="5" fillId="13" borderId="97" xfId="0" applyFont="1" applyFill="1" applyBorder="1" applyAlignment="1">
      <alignment horizontal="center"/>
    </xf>
    <xf numFmtId="0" fontId="2" fillId="0" borderId="83" xfId="0" applyFont="1" applyBorder="1"/>
    <xf numFmtId="0" fontId="5" fillId="11" borderId="99" xfId="0" applyFont="1" applyFill="1" applyBorder="1" applyAlignment="1">
      <alignment horizontal="center"/>
    </xf>
    <xf numFmtId="0" fontId="2" fillId="0" borderId="100" xfId="0" applyFont="1" applyBorder="1"/>
    <xf numFmtId="0" fontId="5" fillId="5" borderId="80" xfId="0" applyFont="1" applyFill="1" applyBorder="1" applyAlignment="1">
      <alignment horizontal="center" wrapText="1"/>
    </xf>
    <xf numFmtId="0" fontId="5" fillId="6" borderId="52" xfId="0" applyFont="1" applyFill="1" applyBorder="1" applyAlignment="1">
      <alignment horizontal="center" vertical="center"/>
    </xf>
    <xf numFmtId="0" fontId="5" fillId="7" borderId="52" xfId="0" applyFont="1" applyFill="1" applyBorder="1" applyAlignment="1">
      <alignment horizontal="center" vertical="center"/>
    </xf>
    <xf numFmtId="0" fontId="5" fillId="8" borderId="52" xfId="0" applyFont="1" applyFill="1" applyBorder="1" applyAlignment="1">
      <alignment horizontal="center" vertical="center"/>
    </xf>
    <xf numFmtId="0" fontId="5" fillId="9" borderId="5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5" fillId="0" borderId="122" xfId="0" applyFont="1" applyBorder="1" applyAlignment="1">
      <alignment horizontal="center"/>
    </xf>
    <xf numFmtId="0" fontId="8" fillId="3" borderId="123" xfId="0" applyFont="1" applyFill="1" applyBorder="1" applyAlignment="1">
      <alignment horizontal="center" vertical="center" wrapText="1"/>
    </xf>
    <xf numFmtId="0" fontId="2" fillId="0" borderId="124" xfId="0" applyFont="1" applyBorder="1"/>
    <xf numFmtId="0" fontId="2" fillId="0" borderId="125" xfId="0" applyFont="1" applyBorder="1"/>
    <xf numFmtId="0" fontId="11" fillId="11" borderId="141" xfId="0" applyFont="1" applyFill="1" applyBorder="1" applyAlignment="1">
      <alignment horizontal="center" vertical="center"/>
    </xf>
    <xf numFmtId="0" fontId="2" fillId="0" borderId="142" xfId="0" applyFont="1" applyBorder="1"/>
    <xf numFmtId="0" fontId="2" fillId="0" borderId="143" xfId="0" applyFont="1" applyBorder="1"/>
    <xf numFmtId="0" fontId="5" fillId="2" borderId="157" xfId="0" applyFont="1" applyFill="1" applyBorder="1" applyAlignment="1">
      <alignment horizontal="center" vertical="center"/>
    </xf>
    <xf numFmtId="0" fontId="2" fillId="0" borderId="158" xfId="0" applyFont="1" applyBorder="1"/>
    <xf numFmtId="0" fontId="5" fillId="2" borderId="80" xfId="0" applyFont="1" applyFill="1" applyBorder="1" applyAlignment="1">
      <alignment horizontal="center" vertical="center"/>
    </xf>
    <xf numFmtId="0" fontId="5" fillId="14" borderId="99" xfId="0" applyFont="1" applyFill="1" applyBorder="1" applyAlignment="1">
      <alignment horizontal="center"/>
    </xf>
    <xf numFmtId="0" fontId="8" fillId="4" borderId="161" xfId="0" applyFont="1" applyFill="1" applyBorder="1" applyAlignment="1">
      <alignment horizontal="center" vertical="center" wrapText="1"/>
    </xf>
    <xf numFmtId="0" fontId="2" fillId="0" borderId="162" xfId="0" applyFont="1" applyBorder="1"/>
    <xf numFmtId="0" fontId="2" fillId="0" borderId="163" xfId="0" applyFont="1" applyBorder="1"/>
    <xf numFmtId="0" fontId="5" fillId="8" borderId="8" xfId="0" applyFont="1" applyFill="1" applyBorder="1" applyAlignment="1">
      <alignment horizontal="center" vertical="center" textRotation="90" wrapText="1"/>
    </xf>
    <xf numFmtId="0" fontId="2" fillId="0" borderId="160" xfId="0" applyFont="1" applyBorder="1"/>
    <xf numFmtId="0" fontId="11" fillId="11" borderId="166" xfId="0" applyFont="1" applyFill="1" applyBorder="1" applyAlignment="1">
      <alignment horizontal="center" vertical="center"/>
    </xf>
    <xf numFmtId="0" fontId="2" fillId="0" borderId="167" xfId="0" applyFont="1" applyBorder="1"/>
    <xf numFmtId="0" fontId="14" fillId="16" borderId="178" xfId="0" applyFont="1" applyFill="1" applyBorder="1" applyAlignment="1">
      <alignment horizontal="left"/>
    </xf>
    <xf numFmtId="0" fontId="2" fillId="0" borderId="179" xfId="0" applyFont="1" applyBorder="1"/>
    <xf numFmtId="0" fontId="2" fillId="0" borderId="180" xfId="0" applyFont="1" applyBorder="1"/>
    <xf numFmtId="0" fontId="14" fillId="15" borderId="178" xfId="0" applyFont="1" applyFill="1" applyBorder="1" applyAlignment="1">
      <alignment horizontal="left"/>
    </xf>
    <xf numFmtId="0" fontId="2" fillId="0" borderId="181" xfId="0" applyFont="1" applyBorder="1"/>
    <xf numFmtId="0" fontId="2" fillId="0" borderId="182" xfId="0" applyFont="1" applyBorder="1"/>
    <xf numFmtId="0" fontId="2" fillId="0" borderId="183" xfId="0" applyFont="1" applyBorder="1"/>
    <xf numFmtId="0" fontId="5" fillId="9" borderId="38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152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34" Type="http://schemas.openxmlformats.org/officeDocument/2006/relationships/sharedStrings" Target="sharedStrings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31" Type="http://customschemas.google.com/relationships/workbookmetadata" Target="metadata"/><Relationship Id="rId4" Type="http://schemas.openxmlformats.org/officeDocument/2006/relationships/worksheet" Target="worksheets/sheet4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A10" workbookViewId="0">
      <selection sqref="A1:N1"/>
    </sheetView>
  </sheetViews>
  <sheetFormatPr baseColWidth="10" defaultColWidth="14.44140625" defaultRowHeight="15" customHeight="1"/>
  <cols>
    <col min="1" max="1" width="6.44140625" customWidth="1"/>
    <col min="2" max="2" width="49.44140625" customWidth="1"/>
    <col min="3" max="9" width="12.6640625" customWidth="1"/>
    <col min="10" max="13" width="10.6640625" customWidth="1"/>
    <col min="14" max="14" width="21" customWidth="1"/>
    <col min="15" max="26" width="10.6640625" customWidth="1"/>
  </cols>
  <sheetData>
    <row r="1" spans="1:15" ht="33">
      <c r="A1" s="173" t="s">
        <v>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5"/>
      <c r="O1" s="1"/>
    </row>
    <row r="2" spans="1:15" ht="15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1">
      <c r="A3" s="176" t="s">
        <v>1</v>
      </c>
      <c r="B3" s="177"/>
      <c r="C3" s="178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70"/>
      <c r="O3" s="1"/>
    </row>
    <row r="4" spans="1:15" ht="15.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"/>
    </row>
    <row r="5" spans="1:15" ht="52.5" customHeight="1">
      <c r="A5" s="179" t="s">
        <v>2</v>
      </c>
      <c r="B5" s="3" t="s">
        <v>3</v>
      </c>
      <c r="C5" s="182" t="s">
        <v>4</v>
      </c>
      <c r="D5" s="183"/>
      <c r="E5" s="183"/>
      <c r="F5" s="183"/>
      <c r="G5" s="183"/>
      <c r="H5" s="183"/>
      <c r="I5" s="184"/>
      <c r="J5" s="185" t="s">
        <v>5</v>
      </c>
      <c r="K5" s="186"/>
      <c r="L5" s="186"/>
      <c r="M5" s="187"/>
      <c r="N5" s="194" t="s">
        <v>6</v>
      </c>
      <c r="O5" s="1"/>
    </row>
    <row r="6" spans="1:15" ht="105" customHeight="1">
      <c r="A6" s="180"/>
      <c r="B6" s="4" t="s">
        <v>7</v>
      </c>
      <c r="C6" s="195" t="s">
        <v>8</v>
      </c>
      <c r="D6" s="196"/>
      <c r="E6" s="168" t="s">
        <v>9</v>
      </c>
      <c r="F6" s="169"/>
      <c r="G6" s="169"/>
      <c r="H6" s="169"/>
      <c r="I6" s="170"/>
      <c r="J6" s="188"/>
      <c r="K6" s="189"/>
      <c r="L6" s="189"/>
      <c r="M6" s="190"/>
      <c r="N6" s="180"/>
      <c r="O6" s="1"/>
    </row>
    <row r="7" spans="1:15" ht="52.5" customHeight="1">
      <c r="A7" s="180"/>
      <c r="B7" s="5" t="s">
        <v>10</v>
      </c>
      <c r="C7" s="195" t="s">
        <v>11</v>
      </c>
      <c r="D7" s="196"/>
      <c r="E7" s="197" t="s">
        <v>11</v>
      </c>
      <c r="F7" s="198"/>
      <c r="G7" s="198"/>
      <c r="H7" s="198"/>
      <c r="I7" s="199"/>
      <c r="J7" s="188"/>
      <c r="K7" s="189"/>
      <c r="L7" s="189"/>
      <c r="M7" s="190"/>
      <c r="N7" s="180"/>
      <c r="O7" s="1"/>
    </row>
    <row r="8" spans="1:15" ht="52.5" customHeight="1">
      <c r="A8" s="180"/>
      <c r="B8" s="4" t="s">
        <v>12</v>
      </c>
      <c r="C8" s="195" t="s">
        <v>13</v>
      </c>
      <c r="D8" s="196"/>
      <c r="E8" s="168" t="s">
        <v>14</v>
      </c>
      <c r="F8" s="169"/>
      <c r="G8" s="169"/>
      <c r="H8" s="169"/>
      <c r="I8" s="170"/>
      <c r="J8" s="188"/>
      <c r="K8" s="189"/>
      <c r="L8" s="189"/>
      <c r="M8" s="190"/>
      <c r="N8" s="180"/>
      <c r="O8" s="1"/>
    </row>
    <row r="9" spans="1:15" ht="52.5" customHeight="1">
      <c r="A9" s="180"/>
      <c r="B9" s="6" t="s">
        <v>15</v>
      </c>
      <c r="C9" s="204" t="s">
        <v>16</v>
      </c>
      <c r="D9" s="205"/>
      <c r="E9" s="168" t="s">
        <v>16</v>
      </c>
      <c r="F9" s="169"/>
      <c r="G9" s="169"/>
      <c r="H9" s="169"/>
      <c r="I9" s="170"/>
      <c r="J9" s="191"/>
      <c r="K9" s="192"/>
      <c r="L9" s="192"/>
      <c r="M9" s="193"/>
      <c r="N9" s="180"/>
      <c r="O9" s="1"/>
    </row>
    <row r="10" spans="1:15" ht="151.5" customHeight="1">
      <c r="A10" s="180"/>
      <c r="B10" s="7" t="s">
        <v>17</v>
      </c>
      <c r="C10" s="8" t="s">
        <v>18</v>
      </c>
      <c r="D10" s="9" t="s">
        <v>18</v>
      </c>
      <c r="E10" s="10" t="s">
        <v>18</v>
      </c>
      <c r="F10" s="10" t="s">
        <v>18</v>
      </c>
      <c r="G10" s="10" t="s">
        <v>18</v>
      </c>
      <c r="H10" s="10" t="s">
        <v>18</v>
      </c>
      <c r="I10" s="11" t="s">
        <v>19</v>
      </c>
      <c r="J10" s="200" t="s">
        <v>20</v>
      </c>
      <c r="K10" s="202" t="s">
        <v>21</v>
      </c>
      <c r="L10" s="206" t="s">
        <v>22</v>
      </c>
      <c r="M10" s="207" t="s">
        <v>23</v>
      </c>
      <c r="N10" s="180"/>
      <c r="O10" s="1"/>
    </row>
    <row r="11" spans="1:15" ht="24" customHeight="1">
      <c r="A11" s="181"/>
      <c r="B11" s="12" t="s">
        <v>24</v>
      </c>
      <c r="C11" s="13" t="s">
        <v>25</v>
      </c>
      <c r="D11" s="13" t="s">
        <v>26</v>
      </c>
      <c r="E11" s="13" t="s">
        <v>27</v>
      </c>
      <c r="F11" s="13" t="s">
        <v>28</v>
      </c>
      <c r="G11" s="13" t="s">
        <v>29</v>
      </c>
      <c r="H11" s="13" t="s">
        <v>30</v>
      </c>
      <c r="I11" s="13" t="s">
        <v>31</v>
      </c>
      <c r="J11" s="201"/>
      <c r="K11" s="203"/>
      <c r="L11" s="201"/>
      <c r="M11" s="208"/>
      <c r="N11" s="181"/>
      <c r="O11" s="1"/>
    </row>
    <row r="12" spans="1:15" ht="19.5" customHeight="1">
      <c r="A12" s="14">
        <v>1</v>
      </c>
      <c r="B12" s="15" t="s">
        <v>32</v>
      </c>
      <c r="C12" s="16">
        <v>1</v>
      </c>
      <c r="D12" s="17">
        <v>3</v>
      </c>
      <c r="E12" s="18">
        <v>3</v>
      </c>
      <c r="F12" s="18">
        <v>3</v>
      </c>
      <c r="G12" s="19">
        <v>3</v>
      </c>
      <c r="H12" s="20">
        <v>3</v>
      </c>
      <c r="I12" s="21">
        <v>3</v>
      </c>
      <c r="J12" s="22">
        <f t="shared" ref="J12:J51" si="0">COUNTIF(C12:I12,3)</f>
        <v>6</v>
      </c>
      <c r="K12" s="23">
        <f t="shared" ref="K12:K51" si="1">COUNTIF(C12:I12,2)</f>
        <v>0</v>
      </c>
      <c r="L12" s="24">
        <f t="shared" ref="L12:L51" si="2">COUNTIF(C12:I12,1)</f>
        <v>1</v>
      </c>
      <c r="M12" s="23">
        <f t="shared" ref="M12:M51" si="3">COUNTIF(C12:I12,0)</f>
        <v>0</v>
      </c>
      <c r="N12" s="25" t="str">
        <f t="shared" ref="N12:N51" si="4">IF(COUNTA(C12:I12)=0, "",
   IF(COUNTIF(C12:I12,3)&lt;=2, "Inicio",
   IF(COUNTIF(C12:I12,3)&lt;=5, "Proceso",
   IF(COUNTIF(C12:I12,3)&lt;=7, "Logrado", ""))))</f>
        <v>Logrado</v>
      </c>
      <c r="O12" s="1"/>
    </row>
    <row r="13" spans="1:15" ht="19.5" customHeight="1">
      <c r="A13" s="26">
        <v>2</v>
      </c>
      <c r="B13" s="27" t="s">
        <v>33</v>
      </c>
      <c r="C13" s="28"/>
      <c r="D13" s="29"/>
      <c r="E13" s="30"/>
      <c r="F13" s="30"/>
      <c r="G13" s="31"/>
      <c r="H13" s="32"/>
      <c r="I13" s="33"/>
      <c r="J13" s="34">
        <f t="shared" si="0"/>
        <v>0</v>
      </c>
      <c r="K13" s="35">
        <f t="shared" si="1"/>
        <v>0</v>
      </c>
      <c r="L13" s="36">
        <f t="shared" si="2"/>
        <v>0</v>
      </c>
      <c r="M13" s="35">
        <f t="shared" si="3"/>
        <v>0</v>
      </c>
      <c r="N13" s="25" t="str">
        <f t="shared" si="4"/>
        <v/>
      </c>
      <c r="O13" s="1"/>
    </row>
    <row r="14" spans="1:15" ht="19.5" customHeight="1">
      <c r="A14" s="37">
        <v>3</v>
      </c>
      <c r="B14" s="38" t="s">
        <v>34</v>
      </c>
      <c r="C14" s="39"/>
      <c r="D14" s="17"/>
      <c r="E14" s="40"/>
      <c r="F14" s="40"/>
      <c r="G14" s="41"/>
      <c r="H14" s="42"/>
      <c r="I14" s="43"/>
      <c r="J14" s="22">
        <f t="shared" si="0"/>
        <v>0</v>
      </c>
      <c r="K14" s="44">
        <f t="shared" si="1"/>
        <v>0</v>
      </c>
      <c r="L14" s="45">
        <f t="shared" si="2"/>
        <v>0</v>
      </c>
      <c r="M14" s="44">
        <f t="shared" si="3"/>
        <v>0</v>
      </c>
      <c r="N14" s="25" t="str">
        <f t="shared" si="4"/>
        <v/>
      </c>
      <c r="O14" s="1"/>
    </row>
    <row r="15" spans="1:15" ht="19.5" customHeight="1">
      <c r="A15" s="26">
        <v>4</v>
      </c>
      <c r="B15" s="38" t="s">
        <v>35</v>
      </c>
      <c r="C15" s="28"/>
      <c r="D15" s="29"/>
      <c r="E15" s="30"/>
      <c r="F15" s="30"/>
      <c r="G15" s="31"/>
      <c r="H15" s="32"/>
      <c r="I15" s="33"/>
      <c r="J15" s="34">
        <f t="shared" si="0"/>
        <v>0</v>
      </c>
      <c r="K15" s="35">
        <f t="shared" si="1"/>
        <v>0</v>
      </c>
      <c r="L15" s="36">
        <f t="shared" si="2"/>
        <v>0</v>
      </c>
      <c r="M15" s="35">
        <f t="shared" si="3"/>
        <v>0</v>
      </c>
      <c r="N15" s="25" t="str">
        <f t="shared" si="4"/>
        <v/>
      </c>
      <c r="O15" s="1"/>
    </row>
    <row r="16" spans="1:15" ht="19.5" customHeight="1">
      <c r="A16" s="37">
        <v>5</v>
      </c>
      <c r="B16" s="46" t="s">
        <v>36</v>
      </c>
      <c r="C16" s="39"/>
      <c r="D16" s="17"/>
      <c r="E16" s="40"/>
      <c r="F16" s="40"/>
      <c r="G16" s="41"/>
      <c r="H16" s="42"/>
      <c r="I16" s="43"/>
      <c r="J16" s="22">
        <f t="shared" si="0"/>
        <v>0</v>
      </c>
      <c r="K16" s="44">
        <f t="shared" si="1"/>
        <v>0</v>
      </c>
      <c r="L16" s="45">
        <f t="shared" si="2"/>
        <v>0</v>
      </c>
      <c r="M16" s="44">
        <f t="shared" si="3"/>
        <v>0</v>
      </c>
      <c r="N16" s="25" t="str">
        <f t="shared" si="4"/>
        <v/>
      </c>
      <c r="O16" s="1"/>
    </row>
    <row r="17" spans="1:15" ht="19.5" customHeight="1">
      <c r="A17" s="26">
        <v>6</v>
      </c>
      <c r="B17" s="27" t="s">
        <v>37</v>
      </c>
      <c r="C17" s="28"/>
      <c r="D17" s="29"/>
      <c r="E17" s="30"/>
      <c r="F17" s="30"/>
      <c r="G17" s="31"/>
      <c r="H17" s="32"/>
      <c r="I17" s="33"/>
      <c r="J17" s="34">
        <f t="shared" si="0"/>
        <v>0</v>
      </c>
      <c r="K17" s="35">
        <f t="shared" si="1"/>
        <v>0</v>
      </c>
      <c r="L17" s="36">
        <f t="shared" si="2"/>
        <v>0</v>
      </c>
      <c r="M17" s="35">
        <f t="shared" si="3"/>
        <v>0</v>
      </c>
      <c r="N17" s="25" t="str">
        <f t="shared" si="4"/>
        <v/>
      </c>
      <c r="O17" s="1"/>
    </row>
    <row r="18" spans="1:15" ht="19.5" customHeight="1">
      <c r="A18" s="37">
        <v>7</v>
      </c>
      <c r="B18" s="46" t="s">
        <v>38</v>
      </c>
      <c r="C18" s="39"/>
      <c r="D18" s="17"/>
      <c r="E18" s="40"/>
      <c r="F18" s="40"/>
      <c r="G18" s="41"/>
      <c r="H18" s="42"/>
      <c r="I18" s="43"/>
      <c r="J18" s="22">
        <f t="shared" si="0"/>
        <v>0</v>
      </c>
      <c r="K18" s="44">
        <f t="shared" si="1"/>
        <v>0</v>
      </c>
      <c r="L18" s="45">
        <f t="shared" si="2"/>
        <v>0</v>
      </c>
      <c r="M18" s="44">
        <f t="shared" si="3"/>
        <v>0</v>
      </c>
      <c r="N18" s="25" t="str">
        <f t="shared" si="4"/>
        <v/>
      </c>
      <c r="O18" s="1"/>
    </row>
    <row r="19" spans="1:15" ht="19.5" customHeight="1">
      <c r="A19" s="26">
        <v>8</v>
      </c>
      <c r="B19" s="38" t="s">
        <v>39</v>
      </c>
      <c r="C19" s="28"/>
      <c r="D19" s="29"/>
      <c r="E19" s="30"/>
      <c r="F19" s="30"/>
      <c r="G19" s="31"/>
      <c r="H19" s="32"/>
      <c r="I19" s="33"/>
      <c r="J19" s="34">
        <f t="shared" si="0"/>
        <v>0</v>
      </c>
      <c r="K19" s="35">
        <f t="shared" si="1"/>
        <v>0</v>
      </c>
      <c r="L19" s="36">
        <f t="shared" si="2"/>
        <v>0</v>
      </c>
      <c r="M19" s="35">
        <f t="shared" si="3"/>
        <v>0</v>
      </c>
      <c r="N19" s="25" t="str">
        <f t="shared" si="4"/>
        <v/>
      </c>
      <c r="O19" s="1"/>
    </row>
    <row r="20" spans="1:15" ht="19.5" customHeight="1">
      <c r="A20" s="37">
        <v>9</v>
      </c>
      <c r="B20" s="46" t="s">
        <v>40</v>
      </c>
      <c r="C20" s="39"/>
      <c r="D20" s="17"/>
      <c r="E20" s="40"/>
      <c r="F20" s="40"/>
      <c r="G20" s="41"/>
      <c r="H20" s="42"/>
      <c r="I20" s="43"/>
      <c r="J20" s="22">
        <f t="shared" si="0"/>
        <v>0</v>
      </c>
      <c r="K20" s="44">
        <f t="shared" si="1"/>
        <v>0</v>
      </c>
      <c r="L20" s="45">
        <f t="shared" si="2"/>
        <v>0</v>
      </c>
      <c r="M20" s="44">
        <f t="shared" si="3"/>
        <v>0</v>
      </c>
      <c r="N20" s="25" t="str">
        <f t="shared" si="4"/>
        <v/>
      </c>
      <c r="O20" s="1"/>
    </row>
    <row r="21" spans="1:15" ht="19.5" customHeight="1">
      <c r="A21" s="26">
        <v>10</v>
      </c>
      <c r="B21" s="27" t="s">
        <v>41</v>
      </c>
      <c r="C21" s="28"/>
      <c r="D21" s="29"/>
      <c r="E21" s="30"/>
      <c r="F21" s="30"/>
      <c r="G21" s="31"/>
      <c r="H21" s="32"/>
      <c r="I21" s="33"/>
      <c r="J21" s="34">
        <f t="shared" si="0"/>
        <v>0</v>
      </c>
      <c r="K21" s="35">
        <f t="shared" si="1"/>
        <v>0</v>
      </c>
      <c r="L21" s="36">
        <f t="shared" si="2"/>
        <v>0</v>
      </c>
      <c r="M21" s="35">
        <f t="shared" si="3"/>
        <v>0</v>
      </c>
      <c r="N21" s="25" t="str">
        <f t="shared" si="4"/>
        <v/>
      </c>
      <c r="O21" s="1"/>
    </row>
    <row r="22" spans="1:15" ht="19.5" customHeight="1">
      <c r="A22" s="37">
        <v>11</v>
      </c>
      <c r="B22" s="38" t="s">
        <v>42</v>
      </c>
      <c r="C22" s="39"/>
      <c r="D22" s="17"/>
      <c r="E22" s="40"/>
      <c r="F22" s="40"/>
      <c r="G22" s="41"/>
      <c r="H22" s="42"/>
      <c r="I22" s="43"/>
      <c r="J22" s="22">
        <f t="shared" si="0"/>
        <v>0</v>
      </c>
      <c r="K22" s="44">
        <f t="shared" si="1"/>
        <v>0</v>
      </c>
      <c r="L22" s="45">
        <f t="shared" si="2"/>
        <v>0</v>
      </c>
      <c r="M22" s="44">
        <f t="shared" si="3"/>
        <v>0</v>
      </c>
      <c r="N22" s="25" t="str">
        <f t="shared" si="4"/>
        <v/>
      </c>
      <c r="O22" s="1"/>
    </row>
    <row r="23" spans="1:15" ht="19.5" customHeight="1">
      <c r="A23" s="26">
        <v>12</v>
      </c>
      <c r="B23" s="27" t="s">
        <v>43</v>
      </c>
      <c r="C23" s="28"/>
      <c r="D23" s="29"/>
      <c r="E23" s="30"/>
      <c r="F23" s="30"/>
      <c r="G23" s="31"/>
      <c r="H23" s="32"/>
      <c r="I23" s="33"/>
      <c r="J23" s="34">
        <f t="shared" si="0"/>
        <v>0</v>
      </c>
      <c r="K23" s="35">
        <f t="shared" si="1"/>
        <v>0</v>
      </c>
      <c r="L23" s="36">
        <f t="shared" si="2"/>
        <v>0</v>
      </c>
      <c r="M23" s="35">
        <f t="shared" si="3"/>
        <v>0</v>
      </c>
      <c r="N23" s="25" t="str">
        <f t="shared" si="4"/>
        <v/>
      </c>
      <c r="O23" s="1"/>
    </row>
    <row r="24" spans="1:15" ht="19.5" customHeight="1">
      <c r="A24" s="37">
        <v>13</v>
      </c>
      <c r="B24" s="46" t="s">
        <v>44</v>
      </c>
      <c r="C24" s="39"/>
      <c r="D24" s="17"/>
      <c r="E24" s="40"/>
      <c r="F24" s="40"/>
      <c r="G24" s="41"/>
      <c r="H24" s="42"/>
      <c r="I24" s="43"/>
      <c r="J24" s="22">
        <f t="shared" si="0"/>
        <v>0</v>
      </c>
      <c r="K24" s="44">
        <f t="shared" si="1"/>
        <v>0</v>
      </c>
      <c r="L24" s="45">
        <f t="shared" si="2"/>
        <v>0</v>
      </c>
      <c r="M24" s="44">
        <f t="shared" si="3"/>
        <v>0</v>
      </c>
      <c r="N24" s="25" t="str">
        <f t="shared" si="4"/>
        <v/>
      </c>
      <c r="O24" s="1"/>
    </row>
    <row r="25" spans="1:15" ht="19.5" customHeight="1">
      <c r="A25" s="26">
        <v>14</v>
      </c>
      <c r="B25" s="27" t="s">
        <v>45</v>
      </c>
      <c r="C25" s="28"/>
      <c r="D25" s="29"/>
      <c r="E25" s="30"/>
      <c r="F25" s="30"/>
      <c r="G25" s="31"/>
      <c r="H25" s="32"/>
      <c r="I25" s="33"/>
      <c r="J25" s="34">
        <f t="shared" si="0"/>
        <v>0</v>
      </c>
      <c r="K25" s="35">
        <f t="shared" si="1"/>
        <v>0</v>
      </c>
      <c r="L25" s="36">
        <f t="shared" si="2"/>
        <v>0</v>
      </c>
      <c r="M25" s="35">
        <f t="shared" si="3"/>
        <v>0</v>
      </c>
      <c r="N25" s="25" t="str">
        <f t="shared" si="4"/>
        <v/>
      </c>
      <c r="O25" s="1"/>
    </row>
    <row r="26" spans="1:15" ht="19.5" customHeight="1">
      <c r="A26" s="37">
        <v>15</v>
      </c>
      <c r="B26" s="46" t="s">
        <v>46</v>
      </c>
      <c r="C26" s="39"/>
      <c r="D26" s="17"/>
      <c r="E26" s="40"/>
      <c r="F26" s="40"/>
      <c r="G26" s="41"/>
      <c r="H26" s="42"/>
      <c r="I26" s="43"/>
      <c r="J26" s="22">
        <f t="shared" si="0"/>
        <v>0</v>
      </c>
      <c r="K26" s="44">
        <f t="shared" si="1"/>
        <v>0</v>
      </c>
      <c r="L26" s="45">
        <f t="shared" si="2"/>
        <v>0</v>
      </c>
      <c r="M26" s="44">
        <f t="shared" si="3"/>
        <v>0</v>
      </c>
      <c r="N26" s="25" t="str">
        <f t="shared" si="4"/>
        <v/>
      </c>
      <c r="O26" s="1"/>
    </row>
    <row r="27" spans="1:15" ht="19.5" customHeight="1">
      <c r="A27" s="26">
        <v>16</v>
      </c>
      <c r="B27" s="27" t="s">
        <v>47</v>
      </c>
      <c r="C27" s="28"/>
      <c r="D27" s="29"/>
      <c r="E27" s="30"/>
      <c r="F27" s="30"/>
      <c r="G27" s="31"/>
      <c r="H27" s="32"/>
      <c r="I27" s="33"/>
      <c r="J27" s="34">
        <f t="shared" si="0"/>
        <v>0</v>
      </c>
      <c r="K27" s="35">
        <f t="shared" si="1"/>
        <v>0</v>
      </c>
      <c r="L27" s="36">
        <f t="shared" si="2"/>
        <v>0</v>
      </c>
      <c r="M27" s="35">
        <f t="shared" si="3"/>
        <v>0</v>
      </c>
      <c r="N27" s="25" t="str">
        <f t="shared" si="4"/>
        <v/>
      </c>
      <c r="O27" s="1"/>
    </row>
    <row r="28" spans="1:15" ht="19.5" customHeight="1">
      <c r="A28" s="37">
        <v>17</v>
      </c>
      <c r="B28" s="46" t="s">
        <v>48</v>
      </c>
      <c r="C28" s="39"/>
      <c r="D28" s="17"/>
      <c r="E28" s="40"/>
      <c r="F28" s="40"/>
      <c r="G28" s="41"/>
      <c r="H28" s="42"/>
      <c r="I28" s="43"/>
      <c r="J28" s="22">
        <f t="shared" si="0"/>
        <v>0</v>
      </c>
      <c r="K28" s="44">
        <f t="shared" si="1"/>
        <v>0</v>
      </c>
      <c r="L28" s="45">
        <f t="shared" si="2"/>
        <v>0</v>
      </c>
      <c r="M28" s="44">
        <f t="shared" si="3"/>
        <v>0</v>
      </c>
      <c r="N28" s="25" t="str">
        <f t="shared" si="4"/>
        <v/>
      </c>
      <c r="O28" s="1"/>
    </row>
    <row r="29" spans="1:15" ht="19.5" customHeight="1">
      <c r="A29" s="26">
        <v>18</v>
      </c>
      <c r="B29" s="27" t="s">
        <v>49</v>
      </c>
      <c r="C29" s="28"/>
      <c r="D29" s="29"/>
      <c r="E29" s="30"/>
      <c r="F29" s="30"/>
      <c r="G29" s="31"/>
      <c r="H29" s="32"/>
      <c r="I29" s="33"/>
      <c r="J29" s="34">
        <f t="shared" si="0"/>
        <v>0</v>
      </c>
      <c r="K29" s="35">
        <f t="shared" si="1"/>
        <v>0</v>
      </c>
      <c r="L29" s="36">
        <f t="shared" si="2"/>
        <v>0</v>
      </c>
      <c r="M29" s="35">
        <f t="shared" si="3"/>
        <v>0</v>
      </c>
      <c r="N29" s="25" t="str">
        <f t="shared" si="4"/>
        <v/>
      </c>
      <c r="O29" s="1"/>
    </row>
    <row r="30" spans="1:15" ht="19.5" customHeight="1">
      <c r="A30" s="37">
        <v>19</v>
      </c>
      <c r="B30" s="46" t="s">
        <v>50</v>
      </c>
      <c r="C30" s="39"/>
      <c r="D30" s="17"/>
      <c r="E30" s="40"/>
      <c r="F30" s="40"/>
      <c r="G30" s="41"/>
      <c r="H30" s="42"/>
      <c r="I30" s="43"/>
      <c r="J30" s="22">
        <f t="shared" si="0"/>
        <v>0</v>
      </c>
      <c r="K30" s="44">
        <f t="shared" si="1"/>
        <v>0</v>
      </c>
      <c r="L30" s="45">
        <f t="shared" si="2"/>
        <v>0</v>
      </c>
      <c r="M30" s="44">
        <f t="shared" si="3"/>
        <v>0</v>
      </c>
      <c r="N30" s="25" t="str">
        <f t="shared" si="4"/>
        <v/>
      </c>
      <c r="O30" s="1"/>
    </row>
    <row r="31" spans="1:15" ht="19.5" customHeight="1">
      <c r="A31" s="26">
        <v>20</v>
      </c>
      <c r="B31" s="27" t="s">
        <v>51</v>
      </c>
      <c r="C31" s="28"/>
      <c r="D31" s="29"/>
      <c r="E31" s="30"/>
      <c r="F31" s="30"/>
      <c r="G31" s="31"/>
      <c r="H31" s="32"/>
      <c r="I31" s="33"/>
      <c r="J31" s="34">
        <f t="shared" si="0"/>
        <v>0</v>
      </c>
      <c r="K31" s="35">
        <f t="shared" si="1"/>
        <v>0</v>
      </c>
      <c r="L31" s="36">
        <f t="shared" si="2"/>
        <v>0</v>
      </c>
      <c r="M31" s="35">
        <f t="shared" si="3"/>
        <v>0</v>
      </c>
      <c r="N31" s="25" t="str">
        <f t="shared" si="4"/>
        <v/>
      </c>
      <c r="O31" s="1"/>
    </row>
    <row r="32" spans="1:15" ht="19.5" customHeight="1">
      <c r="A32" s="37">
        <v>21</v>
      </c>
      <c r="B32" s="46" t="s">
        <v>52</v>
      </c>
      <c r="C32" s="39"/>
      <c r="D32" s="17"/>
      <c r="E32" s="40"/>
      <c r="F32" s="40"/>
      <c r="G32" s="41"/>
      <c r="H32" s="42"/>
      <c r="I32" s="43"/>
      <c r="J32" s="22">
        <f t="shared" si="0"/>
        <v>0</v>
      </c>
      <c r="K32" s="44">
        <f t="shared" si="1"/>
        <v>0</v>
      </c>
      <c r="L32" s="45">
        <f t="shared" si="2"/>
        <v>0</v>
      </c>
      <c r="M32" s="44">
        <f t="shared" si="3"/>
        <v>0</v>
      </c>
      <c r="N32" s="25" t="str">
        <f t="shared" si="4"/>
        <v/>
      </c>
      <c r="O32" s="1"/>
    </row>
    <row r="33" spans="1:15" ht="19.5" customHeight="1">
      <c r="A33" s="26">
        <v>22</v>
      </c>
      <c r="B33" s="27"/>
      <c r="C33" s="28"/>
      <c r="D33" s="29"/>
      <c r="E33" s="30"/>
      <c r="F33" s="30"/>
      <c r="G33" s="31"/>
      <c r="H33" s="32"/>
      <c r="I33" s="33"/>
      <c r="J33" s="34">
        <f t="shared" si="0"/>
        <v>0</v>
      </c>
      <c r="K33" s="35">
        <f t="shared" si="1"/>
        <v>0</v>
      </c>
      <c r="L33" s="36">
        <f t="shared" si="2"/>
        <v>0</v>
      </c>
      <c r="M33" s="35">
        <f t="shared" si="3"/>
        <v>0</v>
      </c>
      <c r="N33" s="25" t="str">
        <f t="shared" si="4"/>
        <v/>
      </c>
      <c r="O33" s="1"/>
    </row>
    <row r="34" spans="1:15" ht="19.5" customHeight="1">
      <c r="A34" s="37">
        <v>23</v>
      </c>
      <c r="B34" s="46"/>
      <c r="C34" s="39"/>
      <c r="D34" s="17"/>
      <c r="E34" s="40"/>
      <c r="F34" s="40"/>
      <c r="G34" s="41"/>
      <c r="H34" s="42"/>
      <c r="I34" s="43"/>
      <c r="J34" s="22">
        <f t="shared" si="0"/>
        <v>0</v>
      </c>
      <c r="K34" s="44">
        <f t="shared" si="1"/>
        <v>0</v>
      </c>
      <c r="L34" s="45">
        <f t="shared" si="2"/>
        <v>0</v>
      </c>
      <c r="M34" s="44">
        <f t="shared" si="3"/>
        <v>0</v>
      </c>
      <c r="N34" s="25" t="str">
        <f t="shared" si="4"/>
        <v/>
      </c>
      <c r="O34" s="1"/>
    </row>
    <row r="35" spans="1:15" ht="19.5" customHeight="1">
      <c r="A35" s="26">
        <v>24</v>
      </c>
      <c r="B35" s="27"/>
      <c r="C35" s="28"/>
      <c r="D35" s="29"/>
      <c r="E35" s="30"/>
      <c r="F35" s="30"/>
      <c r="G35" s="31"/>
      <c r="H35" s="32"/>
      <c r="I35" s="33"/>
      <c r="J35" s="34">
        <f t="shared" si="0"/>
        <v>0</v>
      </c>
      <c r="K35" s="35">
        <f t="shared" si="1"/>
        <v>0</v>
      </c>
      <c r="L35" s="36">
        <f t="shared" si="2"/>
        <v>0</v>
      </c>
      <c r="M35" s="35">
        <f t="shared" si="3"/>
        <v>0</v>
      </c>
      <c r="N35" s="25" t="str">
        <f t="shared" si="4"/>
        <v/>
      </c>
      <c r="O35" s="1"/>
    </row>
    <row r="36" spans="1:15" ht="19.5" customHeight="1">
      <c r="A36" s="37">
        <v>25</v>
      </c>
      <c r="B36" s="46"/>
      <c r="C36" s="39"/>
      <c r="D36" s="17"/>
      <c r="E36" s="40"/>
      <c r="F36" s="40"/>
      <c r="G36" s="41"/>
      <c r="H36" s="42"/>
      <c r="I36" s="43"/>
      <c r="J36" s="22">
        <f t="shared" si="0"/>
        <v>0</v>
      </c>
      <c r="K36" s="44">
        <f t="shared" si="1"/>
        <v>0</v>
      </c>
      <c r="L36" s="45">
        <f t="shared" si="2"/>
        <v>0</v>
      </c>
      <c r="M36" s="44">
        <f t="shared" si="3"/>
        <v>0</v>
      </c>
      <c r="N36" s="25" t="str">
        <f t="shared" si="4"/>
        <v/>
      </c>
      <c r="O36" s="1"/>
    </row>
    <row r="37" spans="1:15" ht="19.5" customHeight="1">
      <c r="A37" s="26">
        <v>26</v>
      </c>
      <c r="B37" s="27"/>
      <c r="C37" s="28"/>
      <c r="D37" s="29"/>
      <c r="E37" s="30"/>
      <c r="F37" s="30"/>
      <c r="G37" s="31"/>
      <c r="H37" s="32"/>
      <c r="I37" s="33"/>
      <c r="J37" s="34">
        <f t="shared" si="0"/>
        <v>0</v>
      </c>
      <c r="K37" s="35">
        <f t="shared" si="1"/>
        <v>0</v>
      </c>
      <c r="L37" s="36">
        <f t="shared" si="2"/>
        <v>0</v>
      </c>
      <c r="M37" s="35">
        <f t="shared" si="3"/>
        <v>0</v>
      </c>
      <c r="N37" s="25" t="str">
        <f t="shared" si="4"/>
        <v/>
      </c>
      <c r="O37" s="1"/>
    </row>
    <row r="38" spans="1:15" ht="19.5" customHeight="1">
      <c r="A38" s="37">
        <v>27</v>
      </c>
      <c r="B38" s="46"/>
      <c r="C38" s="39"/>
      <c r="D38" s="17"/>
      <c r="E38" s="40"/>
      <c r="F38" s="40"/>
      <c r="G38" s="41"/>
      <c r="H38" s="42"/>
      <c r="I38" s="43"/>
      <c r="J38" s="22">
        <f t="shared" si="0"/>
        <v>0</v>
      </c>
      <c r="K38" s="44">
        <f t="shared" si="1"/>
        <v>0</v>
      </c>
      <c r="L38" s="45">
        <f t="shared" si="2"/>
        <v>0</v>
      </c>
      <c r="M38" s="44">
        <f t="shared" si="3"/>
        <v>0</v>
      </c>
      <c r="N38" s="25" t="str">
        <f t="shared" si="4"/>
        <v/>
      </c>
      <c r="O38" s="1"/>
    </row>
    <row r="39" spans="1:15" ht="19.5" customHeight="1">
      <c r="A39" s="26">
        <v>28</v>
      </c>
      <c r="B39" s="27"/>
      <c r="C39" s="28"/>
      <c r="D39" s="29"/>
      <c r="E39" s="30"/>
      <c r="F39" s="30"/>
      <c r="G39" s="31"/>
      <c r="H39" s="32"/>
      <c r="I39" s="33"/>
      <c r="J39" s="34">
        <f t="shared" si="0"/>
        <v>0</v>
      </c>
      <c r="K39" s="35">
        <f t="shared" si="1"/>
        <v>0</v>
      </c>
      <c r="L39" s="36">
        <f t="shared" si="2"/>
        <v>0</v>
      </c>
      <c r="M39" s="35">
        <f t="shared" si="3"/>
        <v>0</v>
      </c>
      <c r="N39" s="25" t="str">
        <f t="shared" si="4"/>
        <v/>
      </c>
      <c r="O39" s="1"/>
    </row>
    <row r="40" spans="1:15" ht="19.5" customHeight="1">
      <c r="A40" s="37">
        <v>29</v>
      </c>
      <c r="B40" s="46"/>
      <c r="C40" s="39"/>
      <c r="D40" s="17"/>
      <c r="E40" s="40"/>
      <c r="F40" s="40"/>
      <c r="G40" s="41"/>
      <c r="H40" s="42"/>
      <c r="I40" s="43"/>
      <c r="J40" s="22">
        <f t="shared" si="0"/>
        <v>0</v>
      </c>
      <c r="K40" s="44">
        <f t="shared" si="1"/>
        <v>0</v>
      </c>
      <c r="L40" s="45">
        <f t="shared" si="2"/>
        <v>0</v>
      </c>
      <c r="M40" s="44">
        <f t="shared" si="3"/>
        <v>0</v>
      </c>
      <c r="N40" s="25" t="str">
        <f t="shared" si="4"/>
        <v/>
      </c>
      <c r="O40" s="1"/>
    </row>
    <row r="41" spans="1:15" ht="19.5" customHeight="1">
      <c r="A41" s="26">
        <v>30</v>
      </c>
      <c r="B41" s="27"/>
      <c r="C41" s="28"/>
      <c r="D41" s="29"/>
      <c r="E41" s="30"/>
      <c r="F41" s="30"/>
      <c r="G41" s="31"/>
      <c r="H41" s="32"/>
      <c r="I41" s="33"/>
      <c r="J41" s="34">
        <f t="shared" si="0"/>
        <v>0</v>
      </c>
      <c r="K41" s="35">
        <f t="shared" si="1"/>
        <v>0</v>
      </c>
      <c r="L41" s="36">
        <f t="shared" si="2"/>
        <v>0</v>
      </c>
      <c r="M41" s="35">
        <f t="shared" si="3"/>
        <v>0</v>
      </c>
      <c r="N41" s="25" t="str">
        <f t="shared" si="4"/>
        <v/>
      </c>
      <c r="O41" s="1"/>
    </row>
    <row r="42" spans="1:15" ht="19.5" customHeight="1">
      <c r="A42" s="37">
        <v>31</v>
      </c>
      <c r="B42" s="46"/>
      <c r="C42" s="39"/>
      <c r="D42" s="17"/>
      <c r="E42" s="40"/>
      <c r="F42" s="40"/>
      <c r="G42" s="41"/>
      <c r="H42" s="42"/>
      <c r="I42" s="43"/>
      <c r="J42" s="22">
        <f t="shared" si="0"/>
        <v>0</v>
      </c>
      <c r="K42" s="44">
        <f t="shared" si="1"/>
        <v>0</v>
      </c>
      <c r="L42" s="45">
        <f t="shared" si="2"/>
        <v>0</v>
      </c>
      <c r="M42" s="44">
        <f t="shared" si="3"/>
        <v>0</v>
      </c>
      <c r="N42" s="25" t="str">
        <f t="shared" si="4"/>
        <v/>
      </c>
      <c r="O42" s="1"/>
    </row>
    <row r="43" spans="1:15" ht="19.5" customHeight="1">
      <c r="A43" s="26">
        <v>32</v>
      </c>
      <c r="B43" s="27"/>
      <c r="C43" s="28"/>
      <c r="D43" s="29"/>
      <c r="E43" s="30"/>
      <c r="F43" s="30"/>
      <c r="G43" s="31"/>
      <c r="H43" s="32"/>
      <c r="I43" s="33"/>
      <c r="J43" s="34">
        <f t="shared" si="0"/>
        <v>0</v>
      </c>
      <c r="K43" s="35">
        <f t="shared" si="1"/>
        <v>0</v>
      </c>
      <c r="L43" s="36">
        <f t="shared" si="2"/>
        <v>0</v>
      </c>
      <c r="M43" s="35">
        <f t="shared" si="3"/>
        <v>0</v>
      </c>
      <c r="N43" s="25" t="str">
        <f t="shared" si="4"/>
        <v/>
      </c>
      <c r="O43" s="1"/>
    </row>
    <row r="44" spans="1:15" ht="19.5" customHeight="1">
      <c r="A44" s="37">
        <v>33</v>
      </c>
      <c r="B44" s="46"/>
      <c r="C44" s="39"/>
      <c r="D44" s="17"/>
      <c r="E44" s="40"/>
      <c r="F44" s="40"/>
      <c r="G44" s="41"/>
      <c r="H44" s="42"/>
      <c r="I44" s="43"/>
      <c r="J44" s="22">
        <f t="shared" si="0"/>
        <v>0</v>
      </c>
      <c r="K44" s="44">
        <f t="shared" si="1"/>
        <v>0</v>
      </c>
      <c r="L44" s="45">
        <f t="shared" si="2"/>
        <v>0</v>
      </c>
      <c r="M44" s="44">
        <f t="shared" si="3"/>
        <v>0</v>
      </c>
      <c r="N44" s="25" t="str">
        <f t="shared" si="4"/>
        <v/>
      </c>
      <c r="O44" s="1"/>
    </row>
    <row r="45" spans="1:15" ht="19.5" customHeight="1">
      <c r="A45" s="26">
        <v>34</v>
      </c>
      <c r="B45" s="27"/>
      <c r="C45" s="28"/>
      <c r="D45" s="29"/>
      <c r="E45" s="30"/>
      <c r="F45" s="30"/>
      <c r="G45" s="31"/>
      <c r="H45" s="32"/>
      <c r="I45" s="33"/>
      <c r="J45" s="34">
        <f t="shared" si="0"/>
        <v>0</v>
      </c>
      <c r="K45" s="35">
        <f t="shared" si="1"/>
        <v>0</v>
      </c>
      <c r="L45" s="36">
        <f t="shared" si="2"/>
        <v>0</v>
      </c>
      <c r="M45" s="35">
        <f t="shared" si="3"/>
        <v>0</v>
      </c>
      <c r="N45" s="25" t="str">
        <f t="shared" si="4"/>
        <v/>
      </c>
      <c r="O45" s="1"/>
    </row>
    <row r="46" spans="1:15" ht="19.5" customHeight="1">
      <c r="A46" s="37">
        <v>35</v>
      </c>
      <c r="B46" s="46"/>
      <c r="C46" s="39"/>
      <c r="D46" s="17"/>
      <c r="E46" s="40"/>
      <c r="F46" s="40"/>
      <c r="G46" s="41"/>
      <c r="H46" s="42"/>
      <c r="I46" s="43"/>
      <c r="J46" s="22">
        <f t="shared" si="0"/>
        <v>0</v>
      </c>
      <c r="K46" s="44">
        <f t="shared" si="1"/>
        <v>0</v>
      </c>
      <c r="L46" s="45">
        <f t="shared" si="2"/>
        <v>0</v>
      </c>
      <c r="M46" s="44">
        <f t="shared" si="3"/>
        <v>0</v>
      </c>
      <c r="N46" s="25" t="str">
        <f t="shared" si="4"/>
        <v/>
      </c>
      <c r="O46" s="1"/>
    </row>
    <row r="47" spans="1:15" ht="19.5" customHeight="1">
      <c r="A47" s="26">
        <v>36</v>
      </c>
      <c r="B47" s="27"/>
      <c r="C47" s="28"/>
      <c r="D47" s="29"/>
      <c r="E47" s="30"/>
      <c r="F47" s="30"/>
      <c r="G47" s="31"/>
      <c r="H47" s="32"/>
      <c r="I47" s="33"/>
      <c r="J47" s="34">
        <f t="shared" si="0"/>
        <v>0</v>
      </c>
      <c r="K47" s="35">
        <f t="shared" si="1"/>
        <v>0</v>
      </c>
      <c r="L47" s="36">
        <f t="shared" si="2"/>
        <v>0</v>
      </c>
      <c r="M47" s="35">
        <f t="shared" si="3"/>
        <v>0</v>
      </c>
      <c r="N47" s="25" t="str">
        <f t="shared" si="4"/>
        <v/>
      </c>
      <c r="O47" s="1"/>
    </row>
    <row r="48" spans="1:15" ht="19.5" customHeight="1">
      <c r="A48" s="37">
        <v>37</v>
      </c>
      <c r="B48" s="46"/>
      <c r="C48" s="39"/>
      <c r="D48" s="17"/>
      <c r="E48" s="40"/>
      <c r="F48" s="40"/>
      <c r="G48" s="41"/>
      <c r="H48" s="42"/>
      <c r="I48" s="43"/>
      <c r="J48" s="22">
        <f t="shared" si="0"/>
        <v>0</v>
      </c>
      <c r="K48" s="44">
        <f t="shared" si="1"/>
        <v>0</v>
      </c>
      <c r="L48" s="45">
        <f t="shared" si="2"/>
        <v>0</v>
      </c>
      <c r="M48" s="44">
        <f t="shared" si="3"/>
        <v>0</v>
      </c>
      <c r="N48" s="25" t="str">
        <f t="shared" si="4"/>
        <v/>
      </c>
      <c r="O48" s="1"/>
    </row>
    <row r="49" spans="1:15" ht="19.5" customHeight="1">
      <c r="A49" s="26">
        <v>38</v>
      </c>
      <c r="B49" s="27"/>
      <c r="C49" s="28"/>
      <c r="D49" s="29"/>
      <c r="E49" s="30"/>
      <c r="F49" s="30"/>
      <c r="G49" s="31"/>
      <c r="H49" s="32"/>
      <c r="I49" s="33"/>
      <c r="J49" s="34">
        <f t="shared" si="0"/>
        <v>0</v>
      </c>
      <c r="K49" s="35">
        <f t="shared" si="1"/>
        <v>0</v>
      </c>
      <c r="L49" s="36">
        <f t="shared" si="2"/>
        <v>0</v>
      </c>
      <c r="M49" s="35">
        <f t="shared" si="3"/>
        <v>0</v>
      </c>
      <c r="N49" s="25" t="str">
        <f t="shared" si="4"/>
        <v/>
      </c>
      <c r="O49" s="1"/>
    </row>
    <row r="50" spans="1:15" ht="19.5" customHeight="1">
      <c r="A50" s="37">
        <v>39</v>
      </c>
      <c r="B50" s="46"/>
      <c r="C50" s="39"/>
      <c r="D50" s="17"/>
      <c r="E50" s="40"/>
      <c r="F50" s="40"/>
      <c r="G50" s="41"/>
      <c r="H50" s="42"/>
      <c r="I50" s="43"/>
      <c r="J50" s="22">
        <f t="shared" si="0"/>
        <v>0</v>
      </c>
      <c r="K50" s="44">
        <f t="shared" si="1"/>
        <v>0</v>
      </c>
      <c r="L50" s="45">
        <f t="shared" si="2"/>
        <v>0</v>
      </c>
      <c r="M50" s="44">
        <f t="shared" si="3"/>
        <v>0</v>
      </c>
      <c r="N50" s="25" t="str">
        <f t="shared" si="4"/>
        <v/>
      </c>
      <c r="O50" s="1"/>
    </row>
    <row r="51" spans="1:15" ht="19.5" customHeight="1">
      <c r="A51" s="47">
        <v>40</v>
      </c>
      <c r="B51" s="48"/>
      <c r="C51" s="49"/>
      <c r="D51" s="29"/>
      <c r="E51" s="50"/>
      <c r="F51" s="50"/>
      <c r="G51" s="51"/>
      <c r="H51" s="52"/>
      <c r="I51" s="53"/>
      <c r="J51" s="54">
        <f t="shared" si="0"/>
        <v>0</v>
      </c>
      <c r="K51" s="55">
        <f t="shared" si="1"/>
        <v>0</v>
      </c>
      <c r="L51" s="56">
        <f t="shared" si="2"/>
        <v>0</v>
      </c>
      <c r="M51" s="57">
        <f t="shared" si="3"/>
        <v>0</v>
      </c>
      <c r="N51" s="58" t="str">
        <f t="shared" si="4"/>
        <v/>
      </c>
      <c r="O51" s="1"/>
    </row>
    <row r="52" spans="1:15" ht="27" customHeight="1">
      <c r="A52" s="171" t="s">
        <v>53</v>
      </c>
      <c r="B52" s="172"/>
      <c r="C52" s="59" t="s">
        <v>25</v>
      </c>
      <c r="D52" s="59" t="s">
        <v>26</v>
      </c>
      <c r="E52" s="59" t="s">
        <v>27</v>
      </c>
      <c r="F52" s="59" t="s">
        <v>28</v>
      </c>
      <c r="G52" s="59" t="s">
        <v>29</v>
      </c>
      <c r="H52" s="59" t="s">
        <v>30</v>
      </c>
      <c r="I52" s="59" t="s">
        <v>31</v>
      </c>
      <c r="J52" s="1"/>
      <c r="K52" s="1"/>
      <c r="L52" s="209" t="s">
        <v>54</v>
      </c>
      <c r="M52" s="210"/>
      <c r="N52" s="211"/>
      <c r="O52" s="1"/>
    </row>
    <row r="53" spans="1:15" ht="27" customHeight="1">
      <c r="A53" s="239" t="s">
        <v>20</v>
      </c>
      <c r="B53" s="235"/>
      <c r="C53" s="60">
        <f t="shared" ref="C53:I53" si="5">COUNTIF(C12:C51,3)/COUNTA(C12:C51)*1</f>
        <v>0</v>
      </c>
      <c r="D53" s="60">
        <f t="shared" si="5"/>
        <v>1</v>
      </c>
      <c r="E53" s="60">
        <f t="shared" si="5"/>
        <v>1</v>
      </c>
      <c r="F53" s="60">
        <f t="shared" si="5"/>
        <v>1</v>
      </c>
      <c r="G53" s="60">
        <f t="shared" si="5"/>
        <v>1</v>
      </c>
      <c r="H53" s="60">
        <f t="shared" si="5"/>
        <v>1</v>
      </c>
      <c r="I53" s="60">
        <f t="shared" si="5"/>
        <v>1</v>
      </c>
      <c r="J53" s="1"/>
      <c r="K53" s="1"/>
      <c r="L53" s="212" t="s">
        <v>55</v>
      </c>
      <c r="M53" s="213"/>
      <c r="N53" s="217" t="s">
        <v>4</v>
      </c>
      <c r="O53" s="221"/>
    </row>
    <row r="54" spans="1:15" ht="27" customHeight="1">
      <c r="A54" s="240" t="s">
        <v>21</v>
      </c>
      <c r="B54" s="235"/>
      <c r="C54" s="62">
        <f t="shared" ref="C54:I54" si="6">COUNTIF(C13:C52,2)/COUNTA(C13:C52)*1</f>
        <v>0</v>
      </c>
      <c r="D54" s="62">
        <f t="shared" si="6"/>
        <v>0</v>
      </c>
      <c r="E54" s="62">
        <f t="shared" si="6"/>
        <v>0</v>
      </c>
      <c r="F54" s="62">
        <f t="shared" si="6"/>
        <v>0</v>
      </c>
      <c r="G54" s="62">
        <f t="shared" si="6"/>
        <v>0</v>
      </c>
      <c r="H54" s="62">
        <f t="shared" si="6"/>
        <v>0</v>
      </c>
      <c r="I54" s="62">
        <f t="shared" si="6"/>
        <v>0</v>
      </c>
      <c r="J54" s="1"/>
      <c r="K54" s="1"/>
      <c r="L54" s="214"/>
      <c r="M54" s="190"/>
      <c r="N54" s="218"/>
      <c r="O54" s="189"/>
    </row>
    <row r="55" spans="1:15" ht="26.25" customHeight="1">
      <c r="A55" s="241" t="s">
        <v>22</v>
      </c>
      <c r="B55" s="235"/>
      <c r="C55" s="63">
        <f t="shared" ref="C55:I55" si="7">COUNTIF(C12:C51,1)/COUNTA(C12:C51)*1</f>
        <v>1</v>
      </c>
      <c r="D55" s="63">
        <f t="shared" si="7"/>
        <v>0</v>
      </c>
      <c r="E55" s="63">
        <f t="shared" si="7"/>
        <v>0</v>
      </c>
      <c r="F55" s="63">
        <f t="shared" si="7"/>
        <v>0</v>
      </c>
      <c r="G55" s="63">
        <f t="shared" si="7"/>
        <v>0</v>
      </c>
      <c r="H55" s="63">
        <f t="shared" si="7"/>
        <v>0</v>
      </c>
      <c r="I55" s="63">
        <f t="shared" si="7"/>
        <v>0</v>
      </c>
      <c r="J55" s="1"/>
      <c r="K55" s="1"/>
      <c r="L55" s="215"/>
      <c r="M55" s="216"/>
      <c r="N55" s="219"/>
      <c r="O55" s="189"/>
    </row>
    <row r="56" spans="1:15" ht="19.5" customHeight="1">
      <c r="A56" s="242" t="s">
        <v>23</v>
      </c>
      <c r="B56" s="235"/>
      <c r="C56" s="64">
        <f t="shared" ref="C56:I56" si="8">COUNTIF(C12:C51,0)/COUNTA(C12:C51)*1</f>
        <v>0</v>
      </c>
      <c r="D56" s="64">
        <f t="shared" si="8"/>
        <v>0</v>
      </c>
      <c r="E56" s="64">
        <f t="shared" si="8"/>
        <v>0</v>
      </c>
      <c r="F56" s="64">
        <f t="shared" si="8"/>
        <v>0</v>
      </c>
      <c r="G56" s="64">
        <f t="shared" si="8"/>
        <v>0</v>
      </c>
      <c r="H56" s="64">
        <f t="shared" si="8"/>
        <v>0</v>
      </c>
      <c r="I56" s="64">
        <f t="shared" si="8"/>
        <v>0</v>
      </c>
      <c r="J56" s="1"/>
      <c r="K56" s="1"/>
      <c r="L56" s="222" t="s">
        <v>56</v>
      </c>
      <c r="M56" s="223"/>
      <c r="N56" s="65">
        <f>COUNTIFS(N12:N51,"Logrado")</f>
        <v>1</v>
      </c>
      <c r="O56" s="1"/>
    </row>
    <row r="57" spans="1:15" ht="19.5" customHeight="1">
      <c r="A57" s="224" t="s">
        <v>57</v>
      </c>
      <c r="B57" s="225"/>
      <c r="C57" s="66">
        <f t="shared" ref="C57:I57" si="9">SUM(C53:C56)</f>
        <v>1</v>
      </c>
      <c r="D57" s="66">
        <f t="shared" si="9"/>
        <v>1</v>
      </c>
      <c r="E57" s="66">
        <f t="shared" si="9"/>
        <v>1</v>
      </c>
      <c r="F57" s="66">
        <f t="shared" si="9"/>
        <v>1</v>
      </c>
      <c r="G57" s="66">
        <f t="shared" si="9"/>
        <v>1</v>
      </c>
      <c r="H57" s="66">
        <f t="shared" si="9"/>
        <v>1</v>
      </c>
      <c r="I57" s="66">
        <f t="shared" si="9"/>
        <v>1</v>
      </c>
      <c r="J57" s="1"/>
      <c r="K57" s="1"/>
      <c r="L57" s="234" t="s">
        <v>58</v>
      </c>
      <c r="M57" s="235"/>
      <c r="N57" s="67">
        <f>COUNTIFS(N12:N51,"Proceso")</f>
        <v>0</v>
      </c>
      <c r="O57" s="1"/>
    </row>
    <row r="58" spans="1:15" ht="19.5" customHeight="1">
      <c r="A58" s="68"/>
      <c r="B58" s="68"/>
      <c r="C58" s="1"/>
      <c r="D58" s="1"/>
      <c r="E58" s="1"/>
      <c r="F58" s="1"/>
      <c r="G58" s="1"/>
      <c r="H58" s="1"/>
      <c r="I58" s="1"/>
      <c r="J58" s="1"/>
      <c r="K58" s="1"/>
      <c r="L58" s="236" t="s">
        <v>59</v>
      </c>
      <c r="M58" s="237"/>
      <c r="N58" s="69">
        <f>COUNTIFS(N12:N51,"Inicio")</f>
        <v>0</v>
      </c>
      <c r="O58" s="1"/>
    </row>
    <row r="59" spans="1:15" ht="34.5" customHeight="1">
      <c r="A59" s="226" t="s">
        <v>60</v>
      </c>
      <c r="B59" s="227"/>
      <c r="C59" s="70" t="str">
        <f t="shared" ref="C59:I59" si="10">IF(COUNTIF(C12:C51,3)/COUNTA(C12:C51)&lt;=0.33,"Inicio",
IF(COUNTIF(C12:C51,3)/COUNTA(C12:C51)&lt;=0.66,"Proceso",
"Logrado"))</f>
        <v>Inicio</v>
      </c>
      <c r="D59" s="71" t="str">
        <f t="shared" si="10"/>
        <v>Logrado</v>
      </c>
      <c r="E59" s="70" t="str">
        <f t="shared" si="10"/>
        <v>Logrado</v>
      </c>
      <c r="F59" s="72" t="str">
        <f t="shared" si="10"/>
        <v>Logrado</v>
      </c>
      <c r="G59" s="72" t="str">
        <f t="shared" si="10"/>
        <v>Logrado</v>
      </c>
      <c r="H59" s="72" t="str">
        <f t="shared" si="10"/>
        <v>Logrado</v>
      </c>
      <c r="I59" s="73" t="str">
        <f t="shared" si="10"/>
        <v>Logrado</v>
      </c>
      <c r="J59" s="1"/>
      <c r="K59" s="1"/>
      <c r="L59" s="238" t="s">
        <v>61</v>
      </c>
      <c r="M59" s="211"/>
      <c r="N59" s="74">
        <f>SUM(N56:N58)</f>
        <v>1</v>
      </c>
      <c r="O59" s="1"/>
    </row>
    <row r="60" spans="1:15" ht="25.5" customHeight="1">
      <c r="A60" s="228" t="s">
        <v>62</v>
      </c>
      <c r="B60" s="229"/>
      <c r="C60" s="230" t="str">
        <f>IF(SUM(C53:D53)&lt;=75%,"Previo al Inicio",IF(SUM(C53:D53)&lt;=150%,"Inicio",IF(SUM(C53:D53)&lt;=225%,"Proceso","Logrado")))</f>
        <v>Inicio</v>
      </c>
      <c r="D60" s="231"/>
      <c r="E60" s="230" t="str">
        <f>IF(SUM(E53:I53)&lt;=100%,"Previo al Inicio",IF(SUM(E53:I53)&lt;=200%,"Inicio",IF(SUM(E53:I53)&lt;=300%,"Proceso","Logrado")))</f>
        <v>Logrado</v>
      </c>
      <c r="F60" s="232"/>
      <c r="G60" s="232"/>
      <c r="H60" s="232"/>
      <c r="I60" s="233"/>
      <c r="J60" s="75"/>
      <c r="K60" s="75"/>
      <c r="L60" s="75"/>
      <c r="M60" s="1"/>
      <c r="N60" s="1"/>
      <c r="O60" s="1"/>
    </row>
    <row r="61" spans="1:1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>
      <c r="A63" s="1"/>
      <c r="B63" s="220" t="s">
        <v>63</v>
      </c>
      <c r="C63" s="210"/>
      <c r="D63" s="21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.75" customHeight="1">
      <c r="A64" s="1"/>
      <c r="B64" s="76" t="s">
        <v>20</v>
      </c>
      <c r="C64" s="77" t="s">
        <v>64</v>
      </c>
      <c r="D64" s="78">
        <v>3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.75" customHeight="1">
      <c r="A65" s="1"/>
      <c r="B65" s="79" t="s">
        <v>21</v>
      </c>
      <c r="C65" s="45" t="s">
        <v>65</v>
      </c>
      <c r="D65" s="80">
        <v>2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.75" customHeight="1">
      <c r="A66" s="1"/>
      <c r="B66" s="81" t="s">
        <v>22</v>
      </c>
      <c r="C66" s="82" t="s">
        <v>66</v>
      </c>
      <c r="D66" s="83">
        <v>1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.75" customHeight="1">
      <c r="A67" s="1"/>
      <c r="B67" s="84" t="s">
        <v>23</v>
      </c>
      <c r="C67" s="85" t="s">
        <v>67</v>
      </c>
      <c r="D67" s="86">
        <v>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56:B56"/>
    <mergeCell ref="L53:M55"/>
    <mergeCell ref="N53:N55"/>
    <mergeCell ref="B63:D63"/>
    <mergeCell ref="O53:O55"/>
    <mergeCell ref="L56:M56"/>
    <mergeCell ref="A57:B57"/>
    <mergeCell ref="A59:B59"/>
    <mergeCell ref="A60:B60"/>
    <mergeCell ref="C60:D60"/>
    <mergeCell ref="E60:I60"/>
    <mergeCell ref="L57:M57"/>
    <mergeCell ref="L58:M58"/>
    <mergeCell ref="L59:M59"/>
    <mergeCell ref="A53:B53"/>
    <mergeCell ref="A54:B54"/>
    <mergeCell ref="A55:B55"/>
    <mergeCell ref="E8:I8"/>
    <mergeCell ref="C9:D9"/>
    <mergeCell ref="L10:L11"/>
    <mergeCell ref="M10:M11"/>
    <mergeCell ref="L52:N52"/>
    <mergeCell ref="E9:I9"/>
    <mergeCell ref="A52:B52"/>
    <mergeCell ref="A1:N1"/>
    <mergeCell ref="A3:B3"/>
    <mergeCell ref="C3:N3"/>
    <mergeCell ref="A5:A11"/>
    <mergeCell ref="C5:I5"/>
    <mergeCell ref="J5:M9"/>
    <mergeCell ref="N5:N11"/>
    <mergeCell ref="E6:I6"/>
    <mergeCell ref="C7:D7"/>
    <mergeCell ref="E7:I7"/>
    <mergeCell ref="J10:J11"/>
    <mergeCell ref="K10:K11"/>
    <mergeCell ref="C6:D6"/>
    <mergeCell ref="C8:D8"/>
  </mergeCells>
  <conditionalFormatting sqref="C59:I59">
    <cfRule type="expression" dxfId="151" priority="1">
      <formula>C59="Logrado"</formula>
    </cfRule>
  </conditionalFormatting>
  <conditionalFormatting sqref="C59:I59">
    <cfRule type="expression" dxfId="150" priority="2">
      <formula>C59="Proceso"</formula>
    </cfRule>
  </conditionalFormatting>
  <conditionalFormatting sqref="C59:I59">
    <cfRule type="expression" dxfId="149" priority="3">
      <formula>C59="Inicio"</formula>
    </cfRule>
  </conditionalFormatting>
  <conditionalFormatting sqref="C59:I59">
    <cfRule type="expression" dxfId="148" priority="4">
      <formula>C59="Previo al Inicio"</formula>
    </cfRule>
  </conditionalFormatting>
  <conditionalFormatting sqref="C60">
    <cfRule type="expression" dxfId="147" priority="5">
      <formula>C60="Previo al inicio"</formula>
    </cfRule>
  </conditionalFormatting>
  <conditionalFormatting sqref="C60">
    <cfRule type="expression" dxfId="146" priority="6">
      <formula>C60="Inicio"</formula>
    </cfRule>
  </conditionalFormatting>
  <conditionalFormatting sqref="C60">
    <cfRule type="expression" dxfId="145" priority="7">
      <formula>C60="Proceso"</formula>
    </cfRule>
  </conditionalFormatting>
  <conditionalFormatting sqref="C60">
    <cfRule type="expression" dxfId="144" priority="8">
      <formula>C60="Logrado"</formula>
    </cfRule>
  </conditionalFormatting>
  <conditionalFormatting sqref="E60:F60">
    <cfRule type="expression" dxfId="143" priority="9">
      <formula>E60="Previo al inicio"</formula>
    </cfRule>
  </conditionalFormatting>
  <conditionalFormatting sqref="E60:F60">
    <cfRule type="expression" dxfId="142" priority="10">
      <formula>E60="Inicio"</formula>
    </cfRule>
  </conditionalFormatting>
  <conditionalFormatting sqref="E60:F60">
    <cfRule type="expression" dxfId="141" priority="11">
      <formula>E60="Proceso"</formula>
    </cfRule>
  </conditionalFormatting>
  <conditionalFormatting sqref="E60:F60">
    <cfRule type="expression" dxfId="140" priority="12">
      <formula>E60="Logrado"</formula>
    </cfRule>
  </conditionalFormatting>
  <conditionalFormatting sqref="N12:N51">
    <cfRule type="expression" dxfId="139" priority="13">
      <formula>N12="Logrado"</formula>
    </cfRule>
  </conditionalFormatting>
  <conditionalFormatting sqref="N12:N51">
    <cfRule type="expression" dxfId="138" priority="14">
      <formula>N12="Proceso"</formula>
    </cfRule>
  </conditionalFormatting>
  <conditionalFormatting sqref="N12:N51">
    <cfRule type="expression" dxfId="137" priority="15">
      <formula>N12="Inicio"</formula>
    </cfRule>
  </conditionalFormatting>
  <conditionalFormatting sqref="N12:N51">
    <cfRule type="expression" dxfId="136" priority="16">
      <formula>N12="Previo al Inicio"</formula>
    </cfRule>
  </conditionalFormatting>
  <dataValidations count="1">
    <dataValidation type="list" allowBlank="1" showErrorMessage="1" sqref="C12:I51 D64:D67" xr:uid="{00000000-0002-0000-0000-000000000000}">
      <formula1>"0,1,2,3"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tabSelected="1" topLeftCell="A7" zoomScale="80" zoomScaleNormal="80" workbookViewId="0">
      <selection activeCell="AC53" sqref="AC53"/>
    </sheetView>
  </sheetViews>
  <sheetFormatPr baseColWidth="10" defaultColWidth="14.44140625" defaultRowHeight="15" customHeight="1"/>
  <cols>
    <col min="1" max="1" width="6.44140625" customWidth="1"/>
    <col min="2" max="2" width="44" customWidth="1"/>
    <col min="3" max="4" width="12.6640625" customWidth="1"/>
    <col min="5" max="5" width="16.109375" customWidth="1"/>
    <col min="6" max="6" width="15" customWidth="1"/>
    <col min="7" max="7" width="14.109375" customWidth="1"/>
    <col min="8" max="22" width="12.6640625" customWidth="1"/>
    <col min="23" max="26" width="10.6640625" customWidth="1"/>
    <col min="27" max="27" width="21" customWidth="1"/>
    <col min="28" max="28" width="10.6640625" customWidth="1"/>
    <col min="29" max="29" width="17.5546875" customWidth="1"/>
  </cols>
  <sheetData>
    <row r="1" spans="1:29" ht="33">
      <c r="A1" s="243" t="s">
        <v>68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5"/>
      <c r="AB1" s="1"/>
      <c r="AC1" s="1"/>
    </row>
    <row r="2" spans="1:29" ht="15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1">
      <c r="A3" s="176" t="s">
        <v>1</v>
      </c>
      <c r="B3" s="177"/>
      <c r="C3" s="244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70"/>
      <c r="AB3" s="1"/>
      <c r="AC3" s="1"/>
    </row>
    <row r="4" spans="1:29" ht="15.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1"/>
      <c r="AC4" s="1"/>
    </row>
    <row r="5" spans="1:29" ht="52.5" customHeight="1">
      <c r="A5" s="179" t="s">
        <v>2</v>
      </c>
      <c r="B5" s="3" t="s">
        <v>3</v>
      </c>
      <c r="C5" s="245" t="s">
        <v>4</v>
      </c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7"/>
      <c r="W5" s="185" t="s">
        <v>5</v>
      </c>
      <c r="X5" s="186"/>
      <c r="Y5" s="186"/>
      <c r="Z5" s="187"/>
      <c r="AA5" s="194" t="s">
        <v>6</v>
      </c>
      <c r="AB5" s="1"/>
      <c r="AC5" s="1"/>
    </row>
    <row r="6" spans="1:29" ht="105" customHeight="1">
      <c r="A6" s="180"/>
      <c r="B6" s="4" t="s">
        <v>7</v>
      </c>
      <c r="C6" s="87" t="s">
        <v>69</v>
      </c>
      <c r="D6" s="88" t="s">
        <v>70</v>
      </c>
      <c r="E6" s="89" t="s">
        <v>71</v>
      </c>
      <c r="F6" s="88" t="s">
        <v>72</v>
      </c>
      <c r="G6" s="89" t="s">
        <v>73</v>
      </c>
      <c r="H6" s="88" t="s">
        <v>74</v>
      </c>
      <c r="I6" s="89" t="s">
        <v>75</v>
      </c>
      <c r="J6" s="88" t="s">
        <v>76</v>
      </c>
      <c r="K6" s="89" t="s">
        <v>77</v>
      </c>
      <c r="L6" s="195" t="s">
        <v>78</v>
      </c>
      <c r="M6" s="169"/>
      <c r="N6" s="170"/>
      <c r="O6" s="168" t="s">
        <v>79</v>
      </c>
      <c r="P6" s="169"/>
      <c r="Q6" s="169"/>
      <c r="R6" s="170"/>
      <c r="S6" s="168" t="s">
        <v>80</v>
      </c>
      <c r="T6" s="169"/>
      <c r="U6" s="169"/>
      <c r="V6" s="170"/>
      <c r="W6" s="188"/>
      <c r="X6" s="189"/>
      <c r="Y6" s="189"/>
      <c r="Z6" s="190"/>
      <c r="AA6" s="180"/>
      <c r="AB6" s="1"/>
      <c r="AC6" s="1"/>
    </row>
    <row r="7" spans="1:29" ht="52.5" customHeight="1">
      <c r="A7" s="180"/>
      <c r="B7" s="5" t="s">
        <v>10</v>
      </c>
      <c r="C7" s="90"/>
      <c r="D7" s="90"/>
      <c r="E7" s="90"/>
      <c r="F7" s="90"/>
      <c r="G7" s="90"/>
      <c r="H7" s="90"/>
      <c r="I7" s="90"/>
      <c r="J7" s="90"/>
      <c r="K7" s="90"/>
      <c r="L7" s="195" t="s">
        <v>81</v>
      </c>
      <c r="M7" s="169"/>
      <c r="N7" s="170"/>
      <c r="O7" s="168" t="s">
        <v>81</v>
      </c>
      <c r="P7" s="169"/>
      <c r="Q7" s="169"/>
      <c r="R7" s="170"/>
      <c r="S7" s="197" t="s">
        <v>11</v>
      </c>
      <c r="T7" s="198"/>
      <c r="U7" s="198"/>
      <c r="V7" s="199"/>
      <c r="W7" s="188"/>
      <c r="X7" s="189"/>
      <c r="Y7" s="189"/>
      <c r="Z7" s="190"/>
      <c r="AA7" s="180"/>
      <c r="AB7" s="1"/>
      <c r="AC7" s="1"/>
    </row>
    <row r="8" spans="1:29" ht="52.5" customHeight="1">
      <c r="A8" s="180"/>
      <c r="B8" s="4" t="s">
        <v>12</v>
      </c>
      <c r="C8" s="90"/>
      <c r="D8" s="90"/>
      <c r="E8" s="90"/>
      <c r="F8" s="90"/>
      <c r="G8" s="90"/>
      <c r="H8" s="90"/>
      <c r="I8" s="90"/>
      <c r="J8" s="90"/>
      <c r="K8" s="90"/>
      <c r="L8" s="195" t="s">
        <v>82</v>
      </c>
      <c r="M8" s="169"/>
      <c r="N8" s="170"/>
      <c r="O8" s="168" t="s">
        <v>82</v>
      </c>
      <c r="P8" s="169"/>
      <c r="Q8" s="169"/>
      <c r="R8" s="170"/>
      <c r="S8" s="168" t="s">
        <v>14</v>
      </c>
      <c r="T8" s="169"/>
      <c r="U8" s="169"/>
      <c r="V8" s="170"/>
      <c r="W8" s="188"/>
      <c r="X8" s="189"/>
      <c r="Y8" s="189"/>
      <c r="Z8" s="190"/>
      <c r="AA8" s="180"/>
      <c r="AB8" s="1"/>
      <c r="AC8" s="1"/>
    </row>
    <row r="9" spans="1:29" ht="52.5" customHeight="1">
      <c r="A9" s="180"/>
      <c r="B9" s="6" t="s">
        <v>15</v>
      </c>
      <c r="C9" s="90"/>
      <c r="D9" s="90"/>
      <c r="E9" s="90"/>
      <c r="F9" s="90"/>
      <c r="G9" s="90"/>
      <c r="H9" s="90"/>
      <c r="I9" s="90"/>
      <c r="J9" s="90"/>
      <c r="K9" s="90"/>
      <c r="L9" s="195" t="s">
        <v>16</v>
      </c>
      <c r="M9" s="169"/>
      <c r="N9" s="170"/>
      <c r="O9" s="168" t="s">
        <v>16</v>
      </c>
      <c r="P9" s="169"/>
      <c r="Q9" s="169"/>
      <c r="R9" s="170"/>
      <c r="S9" s="197" t="s">
        <v>16</v>
      </c>
      <c r="T9" s="198"/>
      <c r="U9" s="198"/>
      <c r="V9" s="199"/>
      <c r="W9" s="191"/>
      <c r="X9" s="192"/>
      <c r="Y9" s="192"/>
      <c r="Z9" s="193"/>
      <c r="AA9" s="180"/>
      <c r="AB9" s="1"/>
      <c r="AC9" s="1"/>
    </row>
    <row r="10" spans="1:29" ht="151.5" customHeight="1">
      <c r="A10" s="180"/>
      <c r="B10" s="7" t="s">
        <v>17</v>
      </c>
      <c r="C10" s="91" t="s">
        <v>19</v>
      </c>
      <c r="D10" s="92" t="s">
        <v>18</v>
      </c>
      <c r="E10" s="91" t="s">
        <v>19</v>
      </c>
      <c r="F10" s="92" t="s">
        <v>83</v>
      </c>
      <c r="G10" s="91" t="s">
        <v>19</v>
      </c>
      <c r="H10" s="92" t="s">
        <v>18</v>
      </c>
      <c r="I10" s="91" t="s">
        <v>19</v>
      </c>
      <c r="J10" s="92" t="s">
        <v>83</v>
      </c>
      <c r="K10" s="91" t="s">
        <v>19</v>
      </c>
      <c r="L10" s="10" t="s">
        <v>18</v>
      </c>
      <c r="M10" s="93" t="s">
        <v>18</v>
      </c>
      <c r="N10" s="94" t="s">
        <v>19</v>
      </c>
      <c r="O10" s="95" t="s">
        <v>18</v>
      </c>
      <c r="P10" s="93" t="s">
        <v>19</v>
      </c>
      <c r="Q10" s="93" t="s">
        <v>19</v>
      </c>
      <c r="R10" s="11" t="s">
        <v>19</v>
      </c>
      <c r="S10" s="95" t="s">
        <v>19</v>
      </c>
      <c r="T10" s="93" t="s">
        <v>18</v>
      </c>
      <c r="U10" s="93" t="s">
        <v>19</v>
      </c>
      <c r="V10" s="11" t="s">
        <v>19</v>
      </c>
      <c r="W10" s="200" t="s">
        <v>20</v>
      </c>
      <c r="X10" s="202" t="s">
        <v>21</v>
      </c>
      <c r="Y10" s="206" t="s">
        <v>22</v>
      </c>
      <c r="Z10" s="207" t="s">
        <v>23</v>
      </c>
      <c r="AA10" s="180"/>
      <c r="AB10" s="1"/>
      <c r="AC10" s="1"/>
    </row>
    <row r="11" spans="1:29" ht="24" customHeight="1">
      <c r="A11" s="181"/>
      <c r="B11" s="12" t="s">
        <v>24</v>
      </c>
      <c r="C11" s="96" t="s">
        <v>25</v>
      </c>
      <c r="D11" s="97" t="s">
        <v>26</v>
      </c>
      <c r="E11" s="96" t="s">
        <v>27</v>
      </c>
      <c r="F11" s="97" t="s">
        <v>28</v>
      </c>
      <c r="G11" s="96" t="s">
        <v>29</v>
      </c>
      <c r="H11" s="97" t="s">
        <v>30</v>
      </c>
      <c r="I11" s="96" t="s">
        <v>31</v>
      </c>
      <c r="J11" s="97" t="s">
        <v>84</v>
      </c>
      <c r="K11" s="96" t="s">
        <v>85</v>
      </c>
      <c r="L11" s="97" t="s">
        <v>86</v>
      </c>
      <c r="M11" s="96" t="s">
        <v>87</v>
      </c>
      <c r="N11" s="97" t="s">
        <v>88</v>
      </c>
      <c r="O11" s="96" t="s">
        <v>89</v>
      </c>
      <c r="P11" s="97" t="s">
        <v>90</v>
      </c>
      <c r="Q11" s="96" t="s">
        <v>91</v>
      </c>
      <c r="R11" s="97" t="s">
        <v>92</v>
      </c>
      <c r="S11" s="96" t="s">
        <v>93</v>
      </c>
      <c r="T11" s="97" t="s">
        <v>94</v>
      </c>
      <c r="U11" s="96" t="s">
        <v>95</v>
      </c>
      <c r="V11" s="97" t="s">
        <v>96</v>
      </c>
      <c r="W11" s="201"/>
      <c r="X11" s="203"/>
      <c r="Y11" s="201"/>
      <c r="Z11" s="208"/>
      <c r="AA11" s="181"/>
      <c r="AB11" s="1"/>
      <c r="AC11" s="1"/>
    </row>
    <row r="12" spans="1:29" ht="19.5" customHeight="1">
      <c r="A12" s="14">
        <v>1</v>
      </c>
      <c r="B12" s="15" t="s">
        <v>141</v>
      </c>
      <c r="C12" s="98">
        <v>3</v>
      </c>
      <c r="D12" s="99">
        <v>3</v>
      </c>
      <c r="E12" s="98">
        <v>3</v>
      </c>
      <c r="F12" s="99">
        <v>3</v>
      </c>
      <c r="G12" s="98">
        <v>3</v>
      </c>
      <c r="H12" s="99">
        <v>3</v>
      </c>
      <c r="I12" s="98">
        <v>3</v>
      </c>
      <c r="J12" s="99">
        <v>3</v>
      </c>
      <c r="K12" s="98">
        <v>3</v>
      </c>
      <c r="L12" s="18">
        <v>3</v>
      </c>
      <c r="M12" s="19">
        <v>3</v>
      </c>
      <c r="N12" s="19">
        <v>3</v>
      </c>
      <c r="O12" s="100">
        <v>3</v>
      </c>
      <c r="P12" s="19">
        <v>3</v>
      </c>
      <c r="Q12" s="20">
        <v>3</v>
      </c>
      <c r="R12" s="21">
        <v>3</v>
      </c>
      <c r="S12" s="100">
        <v>3</v>
      </c>
      <c r="T12" s="19">
        <v>3</v>
      </c>
      <c r="U12" s="19">
        <v>3</v>
      </c>
      <c r="V12" s="21">
        <v>3</v>
      </c>
      <c r="W12" s="22">
        <f t="shared" ref="W12:W51" si="0">COUNTIF(C12:V12,3)</f>
        <v>20</v>
      </c>
      <c r="X12" s="23">
        <f t="shared" ref="X12:X51" si="1">COUNTIF(C12:V12,2)</f>
        <v>0</v>
      </c>
      <c r="Y12" s="24">
        <f t="shared" ref="Y12:Y51" si="2">COUNTIF(C12:V12,1)</f>
        <v>0</v>
      </c>
      <c r="Z12" s="23">
        <f t="shared" ref="Z12:Z51" si="3">COUNTIF(C12:V12,0)</f>
        <v>0</v>
      </c>
      <c r="AA12" s="25" t="str">
        <f t="shared" ref="AA12:AA51" si="4">IF(COUNTA(C12:V12)=0, "",
   IF(COUNTIF(C12:V12,3)&lt;=6, "Previo al Inicio",
   IF(COUNTIF(C12:V12,3)&lt;=12, "Inicio",
   IF(COUNTIF(C12:V12,3)&lt;=19, "Proceso",
   IF(COUNTIF(C12:V12,3)&lt;=24, "Logrado", "")))))</f>
        <v>Logrado</v>
      </c>
      <c r="AB12" s="1"/>
      <c r="AC12" s="1"/>
    </row>
    <row r="13" spans="1:29" ht="19.5" customHeight="1">
      <c r="A13" s="26">
        <v>2</v>
      </c>
      <c r="B13" s="27" t="s">
        <v>142</v>
      </c>
      <c r="C13" s="101">
        <v>3</v>
      </c>
      <c r="D13" s="102">
        <v>3</v>
      </c>
      <c r="E13" s="101">
        <v>3</v>
      </c>
      <c r="F13" s="102">
        <v>3</v>
      </c>
      <c r="G13" s="101">
        <v>3</v>
      </c>
      <c r="H13" s="102">
        <v>3</v>
      </c>
      <c r="I13" s="101">
        <v>3</v>
      </c>
      <c r="J13" s="102">
        <v>3</v>
      </c>
      <c r="K13" s="101">
        <v>3</v>
      </c>
      <c r="L13" s="30">
        <v>3</v>
      </c>
      <c r="M13" s="31">
        <v>3</v>
      </c>
      <c r="N13" s="31">
        <v>3</v>
      </c>
      <c r="O13" s="103">
        <v>1</v>
      </c>
      <c r="P13" s="31">
        <v>1</v>
      </c>
      <c r="Q13" s="32">
        <v>1</v>
      </c>
      <c r="R13" s="33">
        <v>1</v>
      </c>
      <c r="S13" s="103">
        <v>1</v>
      </c>
      <c r="T13" s="31">
        <v>1</v>
      </c>
      <c r="U13" s="31">
        <v>1</v>
      </c>
      <c r="V13" s="33">
        <v>1</v>
      </c>
      <c r="W13" s="34">
        <f t="shared" si="0"/>
        <v>12</v>
      </c>
      <c r="X13" s="35">
        <f t="shared" si="1"/>
        <v>0</v>
      </c>
      <c r="Y13" s="36">
        <f t="shared" si="2"/>
        <v>8</v>
      </c>
      <c r="Z13" s="35">
        <f t="shared" si="3"/>
        <v>0</v>
      </c>
      <c r="AA13" s="25" t="str">
        <f t="shared" si="4"/>
        <v>Inicio</v>
      </c>
      <c r="AB13" s="1"/>
      <c r="AC13" s="1"/>
    </row>
    <row r="14" spans="1:29" ht="19.5" customHeight="1">
      <c r="A14" s="37">
        <v>3</v>
      </c>
      <c r="B14" s="46" t="s">
        <v>144</v>
      </c>
      <c r="C14" s="104">
        <v>1</v>
      </c>
      <c r="D14" s="105">
        <v>3</v>
      </c>
      <c r="E14" s="104">
        <v>1</v>
      </c>
      <c r="F14" s="105">
        <v>3</v>
      </c>
      <c r="G14" s="104">
        <v>1</v>
      </c>
      <c r="H14" s="105">
        <v>3</v>
      </c>
      <c r="I14" s="104">
        <v>3</v>
      </c>
      <c r="J14" s="105">
        <v>3</v>
      </c>
      <c r="K14" s="104">
        <v>1</v>
      </c>
      <c r="L14" s="40">
        <v>3</v>
      </c>
      <c r="M14" s="41">
        <v>2</v>
      </c>
      <c r="N14" s="41">
        <v>1</v>
      </c>
      <c r="O14" s="106">
        <v>1</v>
      </c>
      <c r="P14" s="41">
        <v>3</v>
      </c>
      <c r="Q14" s="42">
        <v>3</v>
      </c>
      <c r="R14" s="43">
        <v>1</v>
      </c>
      <c r="S14" s="106">
        <v>3</v>
      </c>
      <c r="T14" s="41">
        <v>1</v>
      </c>
      <c r="U14" s="41">
        <v>3</v>
      </c>
      <c r="V14" s="43">
        <v>3</v>
      </c>
      <c r="W14" s="22">
        <f t="shared" si="0"/>
        <v>11</v>
      </c>
      <c r="X14" s="44">
        <f t="shared" si="1"/>
        <v>1</v>
      </c>
      <c r="Y14" s="45">
        <f t="shared" si="2"/>
        <v>8</v>
      </c>
      <c r="Z14" s="44">
        <f t="shared" si="3"/>
        <v>0</v>
      </c>
      <c r="AA14" s="25" t="str">
        <f t="shared" si="4"/>
        <v>Inicio</v>
      </c>
      <c r="AB14" s="1"/>
      <c r="AC14" s="1"/>
    </row>
    <row r="15" spans="1:29" ht="19.5" customHeight="1">
      <c r="A15" s="26">
        <v>4</v>
      </c>
      <c r="B15" s="27" t="s">
        <v>143</v>
      </c>
      <c r="C15" s="101">
        <v>3</v>
      </c>
      <c r="D15" s="102">
        <v>3</v>
      </c>
      <c r="E15" s="101">
        <v>3</v>
      </c>
      <c r="F15" s="102">
        <v>3</v>
      </c>
      <c r="G15" s="101">
        <v>3</v>
      </c>
      <c r="H15" s="102">
        <v>1</v>
      </c>
      <c r="I15" s="101">
        <v>1</v>
      </c>
      <c r="J15" s="102">
        <v>1</v>
      </c>
      <c r="K15" s="101">
        <v>1</v>
      </c>
      <c r="L15" s="30">
        <v>2</v>
      </c>
      <c r="M15" s="31">
        <v>2</v>
      </c>
      <c r="N15" s="31">
        <v>1</v>
      </c>
      <c r="O15" s="103">
        <v>1</v>
      </c>
      <c r="P15" s="31">
        <v>2</v>
      </c>
      <c r="Q15" s="32">
        <v>2</v>
      </c>
      <c r="R15" s="33">
        <v>3</v>
      </c>
      <c r="S15" s="103">
        <v>3</v>
      </c>
      <c r="T15" s="31">
        <v>2</v>
      </c>
      <c r="U15" s="31">
        <v>2</v>
      </c>
      <c r="V15" s="33">
        <v>1</v>
      </c>
      <c r="W15" s="34">
        <f t="shared" si="0"/>
        <v>7</v>
      </c>
      <c r="X15" s="35">
        <f t="shared" si="1"/>
        <v>6</v>
      </c>
      <c r="Y15" s="36">
        <f t="shared" si="2"/>
        <v>7</v>
      </c>
      <c r="Z15" s="35">
        <f t="shared" si="3"/>
        <v>0</v>
      </c>
      <c r="AA15" s="25" t="str">
        <f t="shared" si="4"/>
        <v>Inicio</v>
      </c>
      <c r="AB15" s="1"/>
      <c r="AC15" s="1"/>
    </row>
    <row r="16" spans="1:29" ht="19.5" customHeight="1">
      <c r="A16" s="37">
        <v>5</v>
      </c>
      <c r="B16" s="46"/>
      <c r="C16" s="104"/>
      <c r="D16" s="105"/>
      <c r="E16" s="104"/>
      <c r="F16" s="105"/>
      <c r="G16" s="104"/>
      <c r="H16" s="105"/>
      <c r="I16" s="104"/>
      <c r="J16" s="105"/>
      <c r="K16" s="104"/>
      <c r="L16" s="40"/>
      <c r="M16" s="41"/>
      <c r="N16" s="41"/>
      <c r="O16" s="106"/>
      <c r="P16" s="41"/>
      <c r="Q16" s="42"/>
      <c r="R16" s="43"/>
      <c r="S16" s="106"/>
      <c r="T16" s="41"/>
      <c r="U16" s="41"/>
      <c r="V16" s="43"/>
      <c r="W16" s="22">
        <f t="shared" si="0"/>
        <v>0</v>
      </c>
      <c r="X16" s="44">
        <f t="shared" si="1"/>
        <v>0</v>
      </c>
      <c r="Y16" s="45">
        <f t="shared" si="2"/>
        <v>0</v>
      </c>
      <c r="Z16" s="44">
        <f t="shared" si="3"/>
        <v>0</v>
      </c>
      <c r="AA16" s="25" t="str">
        <f t="shared" si="4"/>
        <v/>
      </c>
      <c r="AB16" s="1"/>
      <c r="AC16" s="1"/>
    </row>
    <row r="17" spans="1:29" ht="19.5" customHeight="1">
      <c r="A17" s="26">
        <v>6</v>
      </c>
      <c r="B17" s="27"/>
      <c r="C17" s="101"/>
      <c r="D17" s="102"/>
      <c r="E17" s="101"/>
      <c r="F17" s="102"/>
      <c r="G17" s="101"/>
      <c r="H17" s="102"/>
      <c r="I17" s="101"/>
      <c r="J17" s="102"/>
      <c r="K17" s="101"/>
      <c r="L17" s="30"/>
      <c r="M17" s="31"/>
      <c r="N17" s="31"/>
      <c r="O17" s="103"/>
      <c r="P17" s="31"/>
      <c r="Q17" s="32"/>
      <c r="R17" s="33"/>
      <c r="S17" s="103"/>
      <c r="T17" s="31"/>
      <c r="U17" s="31"/>
      <c r="V17" s="33"/>
      <c r="W17" s="34">
        <f t="shared" si="0"/>
        <v>0</v>
      </c>
      <c r="X17" s="35">
        <f t="shared" si="1"/>
        <v>0</v>
      </c>
      <c r="Y17" s="36">
        <f t="shared" si="2"/>
        <v>0</v>
      </c>
      <c r="Z17" s="35">
        <f t="shared" si="3"/>
        <v>0</v>
      </c>
      <c r="AA17" s="25" t="str">
        <f t="shared" si="4"/>
        <v/>
      </c>
      <c r="AB17" s="1"/>
      <c r="AC17" s="1"/>
    </row>
    <row r="18" spans="1:29" ht="19.5" customHeight="1">
      <c r="A18" s="37">
        <v>7</v>
      </c>
      <c r="B18" s="46"/>
      <c r="C18" s="104"/>
      <c r="D18" s="105"/>
      <c r="E18" s="104"/>
      <c r="F18" s="105"/>
      <c r="G18" s="104"/>
      <c r="H18" s="105"/>
      <c r="I18" s="104"/>
      <c r="J18" s="105"/>
      <c r="K18" s="104"/>
      <c r="L18" s="40"/>
      <c r="M18" s="41"/>
      <c r="N18" s="41"/>
      <c r="O18" s="106"/>
      <c r="P18" s="41"/>
      <c r="Q18" s="42"/>
      <c r="R18" s="43"/>
      <c r="S18" s="106"/>
      <c r="T18" s="41"/>
      <c r="U18" s="41"/>
      <c r="V18" s="43"/>
      <c r="W18" s="22">
        <f t="shared" si="0"/>
        <v>0</v>
      </c>
      <c r="X18" s="44">
        <f t="shared" si="1"/>
        <v>0</v>
      </c>
      <c r="Y18" s="45">
        <f t="shared" si="2"/>
        <v>0</v>
      </c>
      <c r="Z18" s="44">
        <f t="shared" si="3"/>
        <v>0</v>
      </c>
      <c r="AA18" s="25" t="str">
        <f t="shared" si="4"/>
        <v/>
      </c>
      <c r="AB18" s="1"/>
      <c r="AC18" s="1"/>
    </row>
    <row r="19" spans="1:29" ht="19.5" customHeight="1">
      <c r="A19" s="26">
        <v>8</v>
      </c>
      <c r="B19" s="27"/>
      <c r="C19" s="101"/>
      <c r="D19" s="102"/>
      <c r="E19" s="101"/>
      <c r="F19" s="102"/>
      <c r="G19" s="101"/>
      <c r="H19" s="102"/>
      <c r="I19" s="101"/>
      <c r="J19" s="102"/>
      <c r="K19" s="101"/>
      <c r="L19" s="30"/>
      <c r="M19" s="31"/>
      <c r="N19" s="31"/>
      <c r="O19" s="103"/>
      <c r="P19" s="31"/>
      <c r="Q19" s="32"/>
      <c r="R19" s="33"/>
      <c r="S19" s="103"/>
      <c r="T19" s="31"/>
      <c r="U19" s="31"/>
      <c r="V19" s="33"/>
      <c r="W19" s="34">
        <f t="shared" si="0"/>
        <v>0</v>
      </c>
      <c r="X19" s="35">
        <f t="shared" si="1"/>
        <v>0</v>
      </c>
      <c r="Y19" s="36">
        <f t="shared" si="2"/>
        <v>0</v>
      </c>
      <c r="Z19" s="35">
        <f t="shared" si="3"/>
        <v>0</v>
      </c>
      <c r="AA19" s="25" t="str">
        <f t="shared" si="4"/>
        <v/>
      </c>
      <c r="AB19" s="1"/>
      <c r="AC19" s="1"/>
    </row>
    <row r="20" spans="1:29" ht="19.5" customHeight="1">
      <c r="A20" s="37">
        <v>9</v>
      </c>
      <c r="B20" s="46"/>
      <c r="C20" s="104"/>
      <c r="D20" s="105"/>
      <c r="E20" s="104"/>
      <c r="F20" s="105"/>
      <c r="G20" s="104"/>
      <c r="H20" s="105"/>
      <c r="I20" s="104"/>
      <c r="J20" s="105"/>
      <c r="K20" s="104"/>
      <c r="L20" s="40"/>
      <c r="M20" s="41"/>
      <c r="N20" s="41"/>
      <c r="O20" s="106"/>
      <c r="P20" s="41"/>
      <c r="Q20" s="42"/>
      <c r="R20" s="43"/>
      <c r="S20" s="106"/>
      <c r="T20" s="41"/>
      <c r="U20" s="41"/>
      <c r="V20" s="43"/>
      <c r="W20" s="22">
        <f t="shared" si="0"/>
        <v>0</v>
      </c>
      <c r="X20" s="44">
        <f t="shared" si="1"/>
        <v>0</v>
      </c>
      <c r="Y20" s="45">
        <f t="shared" si="2"/>
        <v>0</v>
      </c>
      <c r="Z20" s="44">
        <f t="shared" si="3"/>
        <v>0</v>
      </c>
      <c r="AA20" s="25" t="str">
        <f t="shared" si="4"/>
        <v/>
      </c>
      <c r="AB20" s="1"/>
      <c r="AC20" s="1"/>
    </row>
    <row r="21" spans="1:29" ht="19.5" customHeight="1">
      <c r="A21" s="26">
        <v>10</v>
      </c>
      <c r="B21" s="27"/>
      <c r="C21" s="101"/>
      <c r="D21" s="102"/>
      <c r="E21" s="101"/>
      <c r="F21" s="102"/>
      <c r="G21" s="101"/>
      <c r="H21" s="102"/>
      <c r="I21" s="101"/>
      <c r="J21" s="102"/>
      <c r="K21" s="101"/>
      <c r="L21" s="30"/>
      <c r="M21" s="31"/>
      <c r="N21" s="31"/>
      <c r="O21" s="103"/>
      <c r="P21" s="31"/>
      <c r="Q21" s="32"/>
      <c r="R21" s="33"/>
      <c r="S21" s="103"/>
      <c r="T21" s="31"/>
      <c r="U21" s="31"/>
      <c r="V21" s="33"/>
      <c r="W21" s="34">
        <f t="shared" si="0"/>
        <v>0</v>
      </c>
      <c r="X21" s="35">
        <f t="shared" si="1"/>
        <v>0</v>
      </c>
      <c r="Y21" s="36">
        <f t="shared" si="2"/>
        <v>0</v>
      </c>
      <c r="Z21" s="35">
        <f t="shared" si="3"/>
        <v>0</v>
      </c>
      <c r="AA21" s="25" t="str">
        <f t="shared" si="4"/>
        <v/>
      </c>
      <c r="AB21" s="1"/>
      <c r="AC21" s="1"/>
    </row>
    <row r="22" spans="1:29" ht="19.5" customHeight="1">
      <c r="A22" s="37">
        <v>11</v>
      </c>
      <c r="B22" s="46"/>
      <c r="C22" s="104"/>
      <c r="D22" s="105"/>
      <c r="E22" s="104"/>
      <c r="F22" s="105"/>
      <c r="G22" s="104"/>
      <c r="H22" s="105"/>
      <c r="I22" s="104"/>
      <c r="J22" s="105"/>
      <c r="K22" s="104"/>
      <c r="L22" s="40"/>
      <c r="M22" s="41"/>
      <c r="N22" s="41"/>
      <c r="O22" s="106"/>
      <c r="P22" s="41"/>
      <c r="Q22" s="42"/>
      <c r="R22" s="43"/>
      <c r="S22" s="106"/>
      <c r="T22" s="41"/>
      <c r="U22" s="41"/>
      <c r="V22" s="43"/>
      <c r="W22" s="22">
        <f t="shared" si="0"/>
        <v>0</v>
      </c>
      <c r="X22" s="44">
        <f t="shared" si="1"/>
        <v>0</v>
      </c>
      <c r="Y22" s="45">
        <f t="shared" si="2"/>
        <v>0</v>
      </c>
      <c r="Z22" s="44">
        <f t="shared" si="3"/>
        <v>0</v>
      </c>
      <c r="AA22" s="25" t="str">
        <f t="shared" si="4"/>
        <v/>
      </c>
      <c r="AB22" s="1"/>
      <c r="AC22" s="1"/>
    </row>
    <row r="23" spans="1:29" ht="19.5" customHeight="1">
      <c r="A23" s="26">
        <v>12</v>
      </c>
      <c r="B23" s="27"/>
      <c r="C23" s="101"/>
      <c r="D23" s="102"/>
      <c r="E23" s="101"/>
      <c r="F23" s="102"/>
      <c r="G23" s="101"/>
      <c r="H23" s="102"/>
      <c r="I23" s="101"/>
      <c r="J23" s="102"/>
      <c r="K23" s="101"/>
      <c r="L23" s="30"/>
      <c r="M23" s="31"/>
      <c r="N23" s="31"/>
      <c r="O23" s="103"/>
      <c r="P23" s="31"/>
      <c r="Q23" s="32"/>
      <c r="R23" s="33"/>
      <c r="S23" s="103"/>
      <c r="T23" s="31"/>
      <c r="U23" s="31"/>
      <c r="V23" s="33"/>
      <c r="W23" s="34">
        <f t="shared" si="0"/>
        <v>0</v>
      </c>
      <c r="X23" s="35">
        <f t="shared" si="1"/>
        <v>0</v>
      </c>
      <c r="Y23" s="36">
        <f t="shared" si="2"/>
        <v>0</v>
      </c>
      <c r="Z23" s="35">
        <f t="shared" si="3"/>
        <v>0</v>
      </c>
      <c r="AA23" s="25" t="str">
        <f t="shared" si="4"/>
        <v/>
      </c>
      <c r="AB23" s="1"/>
      <c r="AC23" s="1"/>
    </row>
    <row r="24" spans="1:29" ht="19.5" customHeight="1">
      <c r="A24" s="37">
        <v>13</v>
      </c>
      <c r="B24" s="46"/>
      <c r="C24" s="104"/>
      <c r="D24" s="105"/>
      <c r="E24" s="104"/>
      <c r="F24" s="105"/>
      <c r="G24" s="104"/>
      <c r="H24" s="105"/>
      <c r="I24" s="104"/>
      <c r="J24" s="105"/>
      <c r="K24" s="104"/>
      <c r="L24" s="40"/>
      <c r="M24" s="41"/>
      <c r="N24" s="41"/>
      <c r="O24" s="106"/>
      <c r="P24" s="41"/>
      <c r="Q24" s="42"/>
      <c r="R24" s="43"/>
      <c r="S24" s="106"/>
      <c r="T24" s="41"/>
      <c r="U24" s="41"/>
      <c r="V24" s="43"/>
      <c r="W24" s="22">
        <f t="shared" si="0"/>
        <v>0</v>
      </c>
      <c r="X24" s="44">
        <f t="shared" si="1"/>
        <v>0</v>
      </c>
      <c r="Y24" s="45">
        <f t="shared" si="2"/>
        <v>0</v>
      </c>
      <c r="Z24" s="44">
        <f t="shared" si="3"/>
        <v>0</v>
      </c>
      <c r="AA24" s="25" t="str">
        <f t="shared" si="4"/>
        <v/>
      </c>
      <c r="AB24" s="1"/>
      <c r="AC24" s="1"/>
    </row>
    <row r="25" spans="1:29" ht="19.5" customHeight="1">
      <c r="A25" s="26">
        <v>14</v>
      </c>
      <c r="B25" s="27"/>
      <c r="C25" s="101"/>
      <c r="D25" s="102"/>
      <c r="E25" s="101"/>
      <c r="F25" s="102"/>
      <c r="G25" s="101"/>
      <c r="H25" s="102"/>
      <c r="I25" s="101"/>
      <c r="J25" s="102"/>
      <c r="K25" s="101"/>
      <c r="L25" s="30"/>
      <c r="M25" s="31"/>
      <c r="N25" s="31"/>
      <c r="O25" s="103"/>
      <c r="P25" s="31"/>
      <c r="Q25" s="32"/>
      <c r="R25" s="33"/>
      <c r="S25" s="103"/>
      <c r="T25" s="31"/>
      <c r="U25" s="31"/>
      <c r="V25" s="33"/>
      <c r="W25" s="34">
        <f t="shared" si="0"/>
        <v>0</v>
      </c>
      <c r="X25" s="35">
        <f t="shared" si="1"/>
        <v>0</v>
      </c>
      <c r="Y25" s="36">
        <f t="shared" si="2"/>
        <v>0</v>
      </c>
      <c r="Z25" s="35">
        <f t="shared" si="3"/>
        <v>0</v>
      </c>
      <c r="AA25" s="25" t="str">
        <f t="shared" si="4"/>
        <v/>
      </c>
      <c r="AB25" s="1"/>
      <c r="AC25" s="1"/>
    </row>
    <row r="26" spans="1:29" ht="19.5" customHeight="1">
      <c r="A26" s="37">
        <v>15</v>
      </c>
      <c r="B26" s="46"/>
      <c r="C26" s="104"/>
      <c r="D26" s="105"/>
      <c r="E26" s="104"/>
      <c r="F26" s="105"/>
      <c r="G26" s="104"/>
      <c r="H26" s="105"/>
      <c r="I26" s="104"/>
      <c r="J26" s="105"/>
      <c r="K26" s="104"/>
      <c r="L26" s="40"/>
      <c r="M26" s="41"/>
      <c r="N26" s="41"/>
      <c r="O26" s="106"/>
      <c r="P26" s="41"/>
      <c r="Q26" s="42"/>
      <c r="R26" s="43"/>
      <c r="S26" s="106"/>
      <c r="T26" s="41"/>
      <c r="U26" s="41"/>
      <c r="V26" s="43"/>
      <c r="W26" s="22">
        <f t="shared" si="0"/>
        <v>0</v>
      </c>
      <c r="X26" s="44">
        <f t="shared" si="1"/>
        <v>0</v>
      </c>
      <c r="Y26" s="45">
        <f t="shared" si="2"/>
        <v>0</v>
      </c>
      <c r="Z26" s="44">
        <f t="shared" si="3"/>
        <v>0</v>
      </c>
      <c r="AA26" s="25" t="str">
        <f t="shared" si="4"/>
        <v/>
      </c>
      <c r="AB26" s="1"/>
      <c r="AC26" s="107"/>
    </row>
    <row r="27" spans="1:29" ht="19.5" customHeight="1">
      <c r="A27" s="26">
        <v>16</v>
      </c>
      <c r="B27" s="27"/>
      <c r="C27" s="101"/>
      <c r="D27" s="102"/>
      <c r="E27" s="101"/>
      <c r="F27" s="102"/>
      <c r="G27" s="101"/>
      <c r="H27" s="102"/>
      <c r="I27" s="101"/>
      <c r="J27" s="102"/>
      <c r="K27" s="101"/>
      <c r="L27" s="30"/>
      <c r="M27" s="31"/>
      <c r="N27" s="31"/>
      <c r="O27" s="103"/>
      <c r="P27" s="31"/>
      <c r="Q27" s="32"/>
      <c r="R27" s="33"/>
      <c r="S27" s="103"/>
      <c r="T27" s="31"/>
      <c r="U27" s="31"/>
      <c r="V27" s="33"/>
      <c r="W27" s="34">
        <f t="shared" si="0"/>
        <v>0</v>
      </c>
      <c r="X27" s="35">
        <f t="shared" si="1"/>
        <v>0</v>
      </c>
      <c r="Y27" s="36">
        <f t="shared" si="2"/>
        <v>0</v>
      </c>
      <c r="Z27" s="35">
        <f t="shared" si="3"/>
        <v>0</v>
      </c>
      <c r="AA27" s="25" t="str">
        <f t="shared" si="4"/>
        <v/>
      </c>
      <c r="AB27" s="1"/>
      <c r="AC27" s="1"/>
    </row>
    <row r="28" spans="1:29" ht="19.5" customHeight="1">
      <c r="A28" s="37">
        <v>17</v>
      </c>
      <c r="B28" s="46"/>
      <c r="C28" s="104"/>
      <c r="D28" s="105"/>
      <c r="E28" s="104"/>
      <c r="F28" s="105"/>
      <c r="G28" s="104"/>
      <c r="H28" s="105"/>
      <c r="I28" s="104"/>
      <c r="J28" s="105"/>
      <c r="K28" s="104"/>
      <c r="L28" s="40"/>
      <c r="M28" s="41"/>
      <c r="N28" s="41"/>
      <c r="O28" s="106"/>
      <c r="P28" s="41"/>
      <c r="Q28" s="42"/>
      <c r="R28" s="43"/>
      <c r="S28" s="106"/>
      <c r="T28" s="41"/>
      <c r="U28" s="41"/>
      <c r="V28" s="43"/>
      <c r="W28" s="22">
        <f t="shared" si="0"/>
        <v>0</v>
      </c>
      <c r="X28" s="44">
        <f t="shared" si="1"/>
        <v>0</v>
      </c>
      <c r="Y28" s="45">
        <f t="shared" si="2"/>
        <v>0</v>
      </c>
      <c r="Z28" s="44">
        <f t="shared" si="3"/>
        <v>0</v>
      </c>
      <c r="AA28" s="25" t="str">
        <f t="shared" si="4"/>
        <v/>
      </c>
      <c r="AB28" s="1"/>
      <c r="AC28" s="1"/>
    </row>
    <row r="29" spans="1:29" ht="19.5" customHeight="1">
      <c r="A29" s="26">
        <v>18</v>
      </c>
      <c r="B29" s="27"/>
      <c r="C29" s="101"/>
      <c r="D29" s="102"/>
      <c r="E29" s="101"/>
      <c r="F29" s="102"/>
      <c r="G29" s="101"/>
      <c r="H29" s="102"/>
      <c r="I29" s="101"/>
      <c r="J29" s="102"/>
      <c r="K29" s="101"/>
      <c r="L29" s="30"/>
      <c r="M29" s="31"/>
      <c r="N29" s="31"/>
      <c r="O29" s="103"/>
      <c r="P29" s="31"/>
      <c r="Q29" s="32"/>
      <c r="R29" s="33"/>
      <c r="S29" s="103"/>
      <c r="T29" s="31"/>
      <c r="U29" s="31"/>
      <c r="V29" s="33"/>
      <c r="W29" s="34">
        <f t="shared" si="0"/>
        <v>0</v>
      </c>
      <c r="X29" s="35">
        <f t="shared" si="1"/>
        <v>0</v>
      </c>
      <c r="Y29" s="36">
        <f t="shared" si="2"/>
        <v>0</v>
      </c>
      <c r="Z29" s="35">
        <f t="shared" si="3"/>
        <v>0</v>
      </c>
      <c r="AA29" s="25" t="str">
        <f t="shared" si="4"/>
        <v/>
      </c>
      <c r="AB29" s="1"/>
      <c r="AC29" s="1"/>
    </row>
    <row r="30" spans="1:29" ht="19.5" customHeight="1">
      <c r="A30" s="37">
        <v>19</v>
      </c>
      <c r="B30" s="46"/>
      <c r="C30" s="104"/>
      <c r="D30" s="105"/>
      <c r="E30" s="104"/>
      <c r="F30" s="105"/>
      <c r="G30" s="104"/>
      <c r="H30" s="105"/>
      <c r="I30" s="104"/>
      <c r="J30" s="105"/>
      <c r="K30" s="104"/>
      <c r="L30" s="40"/>
      <c r="M30" s="41"/>
      <c r="N30" s="41"/>
      <c r="O30" s="106"/>
      <c r="P30" s="41"/>
      <c r="Q30" s="42"/>
      <c r="R30" s="43"/>
      <c r="S30" s="106"/>
      <c r="T30" s="41"/>
      <c r="U30" s="41"/>
      <c r="V30" s="43"/>
      <c r="W30" s="22">
        <f t="shared" si="0"/>
        <v>0</v>
      </c>
      <c r="X30" s="44">
        <f t="shared" si="1"/>
        <v>0</v>
      </c>
      <c r="Y30" s="45">
        <f t="shared" si="2"/>
        <v>0</v>
      </c>
      <c r="Z30" s="44">
        <f t="shared" si="3"/>
        <v>0</v>
      </c>
      <c r="AA30" s="25" t="str">
        <f t="shared" si="4"/>
        <v/>
      </c>
      <c r="AB30" s="1"/>
      <c r="AC30" s="1"/>
    </row>
    <row r="31" spans="1:29" ht="19.5" customHeight="1">
      <c r="A31" s="26">
        <v>20</v>
      </c>
      <c r="B31" s="27"/>
      <c r="C31" s="101"/>
      <c r="D31" s="102"/>
      <c r="E31" s="101"/>
      <c r="F31" s="102"/>
      <c r="G31" s="101"/>
      <c r="H31" s="102"/>
      <c r="I31" s="101"/>
      <c r="J31" s="102"/>
      <c r="K31" s="101"/>
      <c r="L31" s="30"/>
      <c r="M31" s="31"/>
      <c r="N31" s="31"/>
      <c r="O31" s="103"/>
      <c r="P31" s="31"/>
      <c r="Q31" s="32"/>
      <c r="R31" s="33"/>
      <c r="S31" s="103"/>
      <c r="T31" s="31"/>
      <c r="U31" s="31"/>
      <c r="V31" s="33"/>
      <c r="W31" s="34">
        <f t="shared" si="0"/>
        <v>0</v>
      </c>
      <c r="X31" s="35">
        <f t="shared" si="1"/>
        <v>0</v>
      </c>
      <c r="Y31" s="36">
        <f t="shared" si="2"/>
        <v>0</v>
      </c>
      <c r="Z31" s="35">
        <f t="shared" si="3"/>
        <v>0</v>
      </c>
      <c r="AA31" s="25" t="str">
        <f t="shared" si="4"/>
        <v/>
      </c>
      <c r="AB31" s="1"/>
      <c r="AC31" s="1"/>
    </row>
    <row r="32" spans="1:29" ht="19.5" customHeight="1">
      <c r="A32" s="37">
        <v>21</v>
      </c>
      <c r="B32" s="46"/>
      <c r="C32" s="104"/>
      <c r="D32" s="105"/>
      <c r="E32" s="104"/>
      <c r="F32" s="105"/>
      <c r="G32" s="104"/>
      <c r="H32" s="105"/>
      <c r="I32" s="104"/>
      <c r="J32" s="105"/>
      <c r="K32" s="104"/>
      <c r="L32" s="40"/>
      <c r="M32" s="41"/>
      <c r="N32" s="41"/>
      <c r="O32" s="106"/>
      <c r="P32" s="41"/>
      <c r="Q32" s="42"/>
      <c r="R32" s="43"/>
      <c r="S32" s="106"/>
      <c r="T32" s="41"/>
      <c r="U32" s="41"/>
      <c r="V32" s="43"/>
      <c r="W32" s="22">
        <f t="shared" si="0"/>
        <v>0</v>
      </c>
      <c r="X32" s="44">
        <f t="shared" si="1"/>
        <v>0</v>
      </c>
      <c r="Y32" s="45">
        <f t="shared" si="2"/>
        <v>0</v>
      </c>
      <c r="Z32" s="44">
        <f t="shared" si="3"/>
        <v>0</v>
      </c>
      <c r="AA32" s="25" t="str">
        <f t="shared" si="4"/>
        <v/>
      </c>
      <c r="AB32" s="1"/>
      <c r="AC32" s="1"/>
    </row>
    <row r="33" spans="1:29" ht="19.5" customHeight="1">
      <c r="A33" s="26">
        <v>22</v>
      </c>
      <c r="B33" s="27"/>
      <c r="C33" s="101"/>
      <c r="D33" s="102"/>
      <c r="E33" s="101"/>
      <c r="F33" s="102"/>
      <c r="G33" s="101"/>
      <c r="H33" s="102"/>
      <c r="I33" s="101"/>
      <c r="J33" s="102"/>
      <c r="K33" s="101"/>
      <c r="L33" s="30"/>
      <c r="M33" s="31"/>
      <c r="N33" s="31"/>
      <c r="O33" s="103"/>
      <c r="P33" s="31"/>
      <c r="Q33" s="32"/>
      <c r="R33" s="33"/>
      <c r="S33" s="103"/>
      <c r="T33" s="31"/>
      <c r="U33" s="31"/>
      <c r="V33" s="33"/>
      <c r="W33" s="34">
        <f t="shared" si="0"/>
        <v>0</v>
      </c>
      <c r="X33" s="35">
        <f t="shared" si="1"/>
        <v>0</v>
      </c>
      <c r="Y33" s="36">
        <f t="shared" si="2"/>
        <v>0</v>
      </c>
      <c r="Z33" s="35">
        <f t="shared" si="3"/>
        <v>0</v>
      </c>
      <c r="AA33" s="25" t="str">
        <f t="shared" si="4"/>
        <v/>
      </c>
      <c r="AB33" s="1"/>
      <c r="AC33" s="1"/>
    </row>
    <row r="34" spans="1:29" ht="19.5" customHeight="1">
      <c r="A34" s="37">
        <v>23</v>
      </c>
      <c r="B34" s="46"/>
      <c r="C34" s="104"/>
      <c r="D34" s="105"/>
      <c r="E34" s="104"/>
      <c r="F34" s="105"/>
      <c r="G34" s="104"/>
      <c r="H34" s="105"/>
      <c r="I34" s="104"/>
      <c r="J34" s="105"/>
      <c r="K34" s="104"/>
      <c r="L34" s="40"/>
      <c r="M34" s="41"/>
      <c r="N34" s="41"/>
      <c r="O34" s="106"/>
      <c r="P34" s="41"/>
      <c r="Q34" s="42"/>
      <c r="R34" s="43"/>
      <c r="S34" s="106"/>
      <c r="T34" s="41"/>
      <c r="U34" s="41"/>
      <c r="V34" s="43"/>
      <c r="W34" s="22">
        <f t="shared" si="0"/>
        <v>0</v>
      </c>
      <c r="X34" s="44">
        <f t="shared" si="1"/>
        <v>0</v>
      </c>
      <c r="Y34" s="45">
        <f t="shared" si="2"/>
        <v>0</v>
      </c>
      <c r="Z34" s="44">
        <f t="shared" si="3"/>
        <v>0</v>
      </c>
      <c r="AA34" s="25" t="str">
        <f t="shared" si="4"/>
        <v/>
      </c>
      <c r="AB34" s="1"/>
      <c r="AC34" s="1"/>
    </row>
    <row r="35" spans="1:29" ht="19.5" customHeight="1">
      <c r="A35" s="26">
        <v>24</v>
      </c>
      <c r="B35" s="27"/>
      <c r="C35" s="101"/>
      <c r="D35" s="102"/>
      <c r="E35" s="101"/>
      <c r="F35" s="102"/>
      <c r="G35" s="101"/>
      <c r="H35" s="102"/>
      <c r="I35" s="101"/>
      <c r="J35" s="102"/>
      <c r="K35" s="101"/>
      <c r="L35" s="30"/>
      <c r="M35" s="31"/>
      <c r="N35" s="31"/>
      <c r="O35" s="103"/>
      <c r="P35" s="31"/>
      <c r="Q35" s="32"/>
      <c r="R35" s="33"/>
      <c r="S35" s="103"/>
      <c r="T35" s="31"/>
      <c r="U35" s="31"/>
      <c r="V35" s="33"/>
      <c r="W35" s="34">
        <f t="shared" si="0"/>
        <v>0</v>
      </c>
      <c r="X35" s="35">
        <f t="shared" si="1"/>
        <v>0</v>
      </c>
      <c r="Y35" s="36">
        <f t="shared" si="2"/>
        <v>0</v>
      </c>
      <c r="Z35" s="35">
        <f t="shared" si="3"/>
        <v>0</v>
      </c>
      <c r="AA35" s="25" t="str">
        <f t="shared" si="4"/>
        <v/>
      </c>
      <c r="AB35" s="1"/>
      <c r="AC35" s="1"/>
    </row>
    <row r="36" spans="1:29" ht="19.5" customHeight="1">
      <c r="A36" s="37">
        <v>25</v>
      </c>
      <c r="B36" s="46"/>
      <c r="C36" s="104"/>
      <c r="D36" s="105"/>
      <c r="E36" s="104"/>
      <c r="F36" s="105"/>
      <c r="G36" s="104"/>
      <c r="H36" s="105"/>
      <c r="I36" s="104"/>
      <c r="J36" s="105"/>
      <c r="K36" s="104"/>
      <c r="L36" s="40"/>
      <c r="M36" s="41"/>
      <c r="N36" s="41"/>
      <c r="O36" s="106"/>
      <c r="P36" s="41"/>
      <c r="Q36" s="42"/>
      <c r="R36" s="43"/>
      <c r="S36" s="106"/>
      <c r="T36" s="41"/>
      <c r="U36" s="41"/>
      <c r="V36" s="43"/>
      <c r="W36" s="22">
        <f t="shared" si="0"/>
        <v>0</v>
      </c>
      <c r="X36" s="44">
        <f t="shared" si="1"/>
        <v>0</v>
      </c>
      <c r="Y36" s="45">
        <f t="shared" si="2"/>
        <v>0</v>
      </c>
      <c r="Z36" s="44">
        <f t="shared" si="3"/>
        <v>0</v>
      </c>
      <c r="AA36" s="25" t="str">
        <f t="shared" si="4"/>
        <v/>
      </c>
      <c r="AB36" s="1"/>
      <c r="AC36" s="1"/>
    </row>
    <row r="37" spans="1:29" ht="19.5" customHeight="1">
      <c r="A37" s="26">
        <v>26</v>
      </c>
      <c r="B37" s="27"/>
      <c r="C37" s="101"/>
      <c r="D37" s="102"/>
      <c r="E37" s="101"/>
      <c r="F37" s="102"/>
      <c r="G37" s="101"/>
      <c r="H37" s="102"/>
      <c r="I37" s="101"/>
      <c r="J37" s="102"/>
      <c r="K37" s="101"/>
      <c r="L37" s="30"/>
      <c r="M37" s="31"/>
      <c r="N37" s="31"/>
      <c r="O37" s="103"/>
      <c r="P37" s="31"/>
      <c r="Q37" s="32"/>
      <c r="R37" s="33"/>
      <c r="S37" s="103"/>
      <c r="T37" s="31"/>
      <c r="U37" s="31"/>
      <c r="V37" s="33"/>
      <c r="W37" s="34">
        <f t="shared" si="0"/>
        <v>0</v>
      </c>
      <c r="X37" s="35">
        <f t="shared" si="1"/>
        <v>0</v>
      </c>
      <c r="Y37" s="36">
        <f t="shared" si="2"/>
        <v>0</v>
      </c>
      <c r="Z37" s="35">
        <f t="shared" si="3"/>
        <v>0</v>
      </c>
      <c r="AA37" s="25" t="str">
        <f t="shared" si="4"/>
        <v/>
      </c>
      <c r="AB37" s="1"/>
      <c r="AC37" s="1"/>
    </row>
    <row r="38" spans="1:29" ht="19.5" customHeight="1">
      <c r="A38" s="37">
        <v>27</v>
      </c>
      <c r="B38" s="46"/>
      <c r="C38" s="104"/>
      <c r="D38" s="105"/>
      <c r="E38" s="104"/>
      <c r="F38" s="105"/>
      <c r="G38" s="104"/>
      <c r="H38" s="105"/>
      <c r="I38" s="104"/>
      <c r="J38" s="105"/>
      <c r="K38" s="104"/>
      <c r="L38" s="40"/>
      <c r="M38" s="41"/>
      <c r="N38" s="41"/>
      <c r="O38" s="106"/>
      <c r="P38" s="41"/>
      <c r="Q38" s="42"/>
      <c r="R38" s="43"/>
      <c r="S38" s="106"/>
      <c r="T38" s="41"/>
      <c r="U38" s="41"/>
      <c r="V38" s="43"/>
      <c r="W38" s="22">
        <f t="shared" si="0"/>
        <v>0</v>
      </c>
      <c r="X38" s="44">
        <f t="shared" si="1"/>
        <v>0</v>
      </c>
      <c r="Y38" s="45">
        <f t="shared" si="2"/>
        <v>0</v>
      </c>
      <c r="Z38" s="44">
        <f t="shared" si="3"/>
        <v>0</v>
      </c>
      <c r="AA38" s="25" t="str">
        <f t="shared" si="4"/>
        <v/>
      </c>
      <c r="AB38" s="1"/>
      <c r="AC38" s="1"/>
    </row>
    <row r="39" spans="1:29" ht="19.5" customHeight="1">
      <c r="A39" s="26">
        <v>28</v>
      </c>
      <c r="B39" s="27"/>
      <c r="C39" s="101"/>
      <c r="D39" s="102"/>
      <c r="E39" s="101"/>
      <c r="F39" s="102"/>
      <c r="G39" s="101"/>
      <c r="H39" s="102"/>
      <c r="I39" s="101"/>
      <c r="J39" s="102"/>
      <c r="K39" s="101"/>
      <c r="L39" s="30"/>
      <c r="M39" s="31"/>
      <c r="N39" s="31"/>
      <c r="O39" s="103"/>
      <c r="P39" s="31"/>
      <c r="Q39" s="32"/>
      <c r="R39" s="33"/>
      <c r="S39" s="103"/>
      <c r="T39" s="31"/>
      <c r="U39" s="31"/>
      <c r="V39" s="33"/>
      <c r="W39" s="34">
        <f t="shared" si="0"/>
        <v>0</v>
      </c>
      <c r="X39" s="35">
        <f t="shared" si="1"/>
        <v>0</v>
      </c>
      <c r="Y39" s="36">
        <f t="shared" si="2"/>
        <v>0</v>
      </c>
      <c r="Z39" s="35">
        <f t="shared" si="3"/>
        <v>0</v>
      </c>
      <c r="AA39" s="25" t="str">
        <f t="shared" si="4"/>
        <v/>
      </c>
      <c r="AB39" s="1"/>
      <c r="AC39" s="1"/>
    </row>
    <row r="40" spans="1:29" ht="19.5" customHeight="1">
      <c r="A40" s="37">
        <v>29</v>
      </c>
      <c r="B40" s="46"/>
      <c r="C40" s="104"/>
      <c r="D40" s="105"/>
      <c r="E40" s="104"/>
      <c r="F40" s="105"/>
      <c r="G40" s="104"/>
      <c r="H40" s="105"/>
      <c r="I40" s="104"/>
      <c r="J40" s="105"/>
      <c r="K40" s="104"/>
      <c r="L40" s="40"/>
      <c r="M40" s="41"/>
      <c r="N40" s="41"/>
      <c r="O40" s="106"/>
      <c r="P40" s="41"/>
      <c r="Q40" s="42"/>
      <c r="R40" s="43"/>
      <c r="S40" s="106"/>
      <c r="T40" s="41"/>
      <c r="U40" s="41"/>
      <c r="V40" s="43"/>
      <c r="W40" s="22">
        <f t="shared" si="0"/>
        <v>0</v>
      </c>
      <c r="X40" s="44">
        <f t="shared" si="1"/>
        <v>0</v>
      </c>
      <c r="Y40" s="45">
        <f t="shared" si="2"/>
        <v>0</v>
      </c>
      <c r="Z40" s="44">
        <f t="shared" si="3"/>
        <v>0</v>
      </c>
      <c r="AA40" s="25" t="str">
        <f t="shared" si="4"/>
        <v/>
      </c>
      <c r="AB40" s="1"/>
      <c r="AC40" s="1"/>
    </row>
    <row r="41" spans="1:29" ht="19.5" customHeight="1">
      <c r="A41" s="26">
        <v>30</v>
      </c>
      <c r="B41" s="27"/>
      <c r="C41" s="101"/>
      <c r="D41" s="102"/>
      <c r="E41" s="101"/>
      <c r="F41" s="102"/>
      <c r="G41" s="101"/>
      <c r="H41" s="102"/>
      <c r="I41" s="101"/>
      <c r="J41" s="102"/>
      <c r="K41" s="101"/>
      <c r="L41" s="30"/>
      <c r="M41" s="31"/>
      <c r="N41" s="31"/>
      <c r="O41" s="103"/>
      <c r="P41" s="31"/>
      <c r="Q41" s="32"/>
      <c r="R41" s="33"/>
      <c r="S41" s="103"/>
      <c r="T41" s="31"/>
      <c r="U41" s="31"/>
      <c r="V41" s="33"/>
      <c r="W41" s="34">
        <f t="shared" si="0"/>
        <v>0</v>
      </c>
      <c r="X41" s="35">
        <f t="shared" si="1"/>
        <v>0</v>
      </c>
      <c r="Y41" s="36">
        <f t="shared" si="2"/>
        <v>0</v>
      </c>
      <c r="Z41" s="35">
        <f t="shared" si="3"/>
        <v>0</v>
      </c>
      <c r="AA41" s="25" t="str">
        <f t="shared" si="4"/>
        <v/>
      </c>
      <c r="AB41" s="1"/>
      <c r="AC41" s="1"/>
    </row>
    <row r="42" spans="1:29" ht="19.5" customHeight="1">
      <c r="A42" s="37">
        <v>31</v>
      </c>
      <c r="B42" s="46"/>
      <c r="C42" s="104"/>
      <c r="D42" s="105"/>
      <c r="E42" s="104"/>
      <c r="F42" s="105"/>
      <c r="G42" s="104"/>
      <c r="H42" s="105"/>
      <c r="I42" s="104"/>
      <c r="J42" s="105"/>
      <c r="K42" s="104"/>
      <c r="L42" s="40"/>
      <c r="M42" s="41"/>
      <c r="N42" s="41"/>
      <c r="O42" s="106"/>
      <c r="P42" s="41"/>
      <c r="Q42" s="42"/>
      <c r="R42" s="43"/>
      <c r="S42" s="106"/>
      <c r="T42" s="41"/>
      <c r="U42" s="41"/>
      <c r="V42" s="43"/>
      <c r="W42" s="22">
        <f t="shared" si="0"/>
        <v>0</v>
      </c>
      <c r="X42" s="44">
        <f t="shared" si="1"/>
        <v>0</v>
      </c>
      <c r="Y42" s="45">
        <f t="shared" si="2"/>
        <v>0</v>
      </c>
      <c r="Z42" s="44">
        <f t="shared" si="3"/>
        <v>0</v>
      </c>
      <c r="AA42" s="25" t="str">
        <f t="shared" si="4"/>
        <v/>
      </c>
      <c r="AB42" s="1"/>
      <c r="AC42" s="1"/>
    </row>
    <row r="43" spans="1:29" ht="19.5" customHeight="1">
      <c r="A43" s="26">
        <v>32</v>
      </c>
      <c r="B43" s="27"/>
      <c r="C43" s="101"/>
      <c r="D43" s="102"/>
      <c r="E43" s="101"/>
      <c r="F43" s="102"/>
      <c r="G43" s="101"/>
      <c r="H43" s="102"/>
      <c r="I43" s="101"/>
      <c r="J43" s="102"/>
      <c r="K43" s="101"/>
      <c r="L43" s="30"/>
      <c r="M43" s="31"/>
      <c r="N43" s="31"/>
      <c r="O43" s="103"/>
      <c r="P43" s="31"/>
      <c r="Q43" s="32"/>
      <c r="R43" s="33"/>
      <c r="S43" s="103"/>
      <c r="T43" s="31"/>
      <c r="U43" s="31"/>
      <c r="V43" s="33"/>
      <c r="W43" s="34">
        <f t="shared" si="0"/>
        <v>0</v>
      </c>
      <c r="X43" s="35">
        <f t="shared" si="1"/>
        <v>0</v>
      </c>
      <c r="Y43" s="36">
        <f t="shared" si="2"/>
        <v>0</v>
      </c>
      <c r="Z43" s="35">
        <f t="shared" si="3"/>
        <v>0</v>
      </c>
      <c r="AA43" s="25" t="str">
        <f t="shared" si="4"/>
        <v/>
      </c>
      <c r="AB43" s="1"/>
      <c r="AC43" s="1"/>
    </row>
    <row r="44" spans="1:29" ht="19.5" customHeight="1">
      <c r="A44" s="37">
        <v>33</v>
      </c>
      <c r="B44" s="46"/>
      <c r="C44" s="104"/>
      <c r="D44" s="105"/>
      <c r="E44" s="104"/>
      <c r="F44" s="105"/>
      <c r="G44" s="104"/>
      <c r="H44" s="105"/>
      <c r="I44" s="104"/>
      <c r="J44" s="105"/>
      <c r="K44" s="104"/>
      <c r="L44" s="40"/>
      <c r="M44" s="41"/>
      <c r="N44" s="41"/>
      <c r="O44" s="106"/>
      <c r="P44" s="41"/>
      <c r="Q44" s="42"/>
      <c r="R44" s="43"/>
      <c r="S44" s="106"/>
      <c r="T44" s="41"/>
      <c r="U44" s="41"/>
      <c r="V44" s="43"/>
      <c r="W44" s="22">
        <f t="shared" si="0"/>
        <v>0</v>
      </c>
      <c r="X44" s="44">
        <f t="shared" si="1"/>
        <v>0</v>
      </c>
      <c r="Y44" s="45">
        <f t="shared" si="2"/>
        <v>0</v>
      </c>
      <c r="Z44" s="44">
        <f t="shared" si="3"/>
        <v>0</v>
      </c>
      <c r="AA44" s="25" t="str">
        <f t="shared" si="4"/>
        <v/>
      </c>
      <c r="AB44" s="1"/>
      <c r="AC44" s="1"/>
    </row>
    <row r="45" spans="1:29" ht="19.5" customHeight="1">
      <c r="A45" s="26">
        <v>34</v>
      </c>
      <c r="B45" s="27"/>
      <c r="C45" s="101"/>
      <c r="D45" s="102"/>
      <c r="E45" s="101"/>
      <c r="F45" s="102"/>
      <c r="G45" s="101"/>
      <c r="H45" s="102"/>
      <c r="I45" s="101"/>
      <c r="J45" s="102"/>
      <c r="K45" s="101"/>
      <c r="L45" s="30"/>
      <c r="M45" s="31"/>
      <c r="N45" s="31"/>
      <c r="O45" s="103"/>
      <c r="P45" s="31"/>
      <c r="Q45" s="32"/>
      <c r="R45" s="33"/>
      <c r="S45" s="103"/>
      <c r="T45" s="31"/>
      <c r="U45" s="31"/>
      <c r="V45" s="33"/>
      <c r="W45" s="34">
        <f t="shared" si="0"/>
        <v>0</v>
      </c>
      <c r="X45" s="35">
        <f t="shared" si="1"/>
        <v>0</v>
      </c>
      <c r="Y45" s="36">
        <f t="shared" si="2"/>
        <v>0</v>
      </c>
      <c r="Z45" s="35">
        <f t="shared" si="3"/>
        <v>0</v>
      </c>
      <c r="AA45" s="25" t="str">
        <f t="shared" si="4"/>
        <v/>
      </c>
      <c r="AB45" s="1"/>
      <c r="AC45" s="1"/>
    </row>
    <row r="46" spans="1:29" ht="19.5" customHeight="1">
      <c r="A46" s="37">
        <v>35</v>
      </c>
      <c r="B46" s="46"/>
      <c r="C46" s="104"/>
      <c r="D46" s="105"/>
      <c r="E46" s="104"/>
      <c r="F46" s="105"/>
      <c r="G46" s="104"/>
      <c r="H46" s="105"/>
      <c r="I46" s="104"/>
      <c r="J46" s="105"/>
      <c r="K46" s="104"/>
      <c r="L46" s="40"/>
      <c r="M46" s="41"/>
      <c r="N46" s="41"/>
      <c r="O46" s="106"/>
      <c r="P46" s="41"/>
      <c r="Q46" s="42"/>
      <c r="R46" s="43"/>
      <c r="S46" s="106"/>
      <c r="T46" s="41"/>
      <c r="U46" s="41"/>
      <c r="V46" s="43"/>
      <c r="W46" s="22">
        <f t="shared" si="0"/>
        <v>0</v>
      </c>
      <c r="X46" s="44">
        <f t="shared" si="1"/>
        <v>0</v>
      </c>
      <c r="Y46" s="45">
        <f t="shared" si="2"/>
        <v>0</v>
      </c>
      <c r="Z46" s="44">
        <f t="shared" si="3"/>
        <v>0</v>
      </c>
      <c r="AA46" s="25" t="str">
        <f t="shared" si="4"/>
        <v/>
      </c>
      <c r="AB46" s="1"/>
      <c r="AC46" s="1"/>
    </row>
    <row r="47" spans="1:29" ht="19.5" customHeight="1">
      <c r="A47" s="26">
        <v>36</v>
      </c>
      <c r="B47" s="27"/>
      <c r="C47" s="101"/>
      <c r="D47" s="102"/>
      <c r="E47" s="101"/>
      <c r="F47" s="102"/>
      <c r="G47" s="101"/>
      <c r="H47" s="102"/>
      <c r="I47" s="101"/>
      <c r="J47" s="102"/>
      <c r="K47" s="101"/>
      <c r="L47" s="30"/>
      <c r="M47" s="31"/>
      <c r="N47" s="31"/>
      <c r="O47" s="103"/>
      <c r="P47" s="31"/>
      <c r="Q47" s="32"/>
      <c r="R47" s="33"/>
      <c r="S47" s="103"/>
      <c r="T47" s="31"/>
      <c r="U47" s="31"/>
      <c r="V47" s="33"/>
      <c r="W47" s="34">
        <f t="shared" si="0"/>
        <v>0</v>
      </c>
      <c r="X47" s="35">
        <f t="shared" si="1"/>
        <v>0</v>
      </c>
      <c r="Y47" s="36">
        <f t="shared" si="2"/>
        <v>0</v>
      </c>
      <c r="Z47" s="35">
        <f t="shared" si="3"/>
        <v>0</v>
      </c>
      <c r="AA47" s="25" t="str">
        <f t="shared" si="4"/>
        <v/>
      </c>
      <c r="AB47" s="1"/>
      <c r="AC47" s="1"/>
    </row>
    <row r="48" spans="1:29" ht="19.5" customHeight="1">
      <c r="A48" s="37">
        <v>37</v>
      </c>
      <c r="B48" s="46"/>
      <c r="C48" s="104"/>
      <c r="D48" s="105"/>
      <c r="E48" s="104"/>
      <c r="F48" s="105"/>
      <c r="G48" s="104"/>
      <c r="H48" s="105"/>
      <c r="I48" s="104"/>
      <c r="J48" s="105"/>
      <c r="K48" s="104"/>
      <c r="L48" s="40"/>
      <c r="M48" s="41"/>
      <c r="N48" s="41"/>
      <c r="O48" s="106"/>
      <c r="P48" s="41"/>
      <c r="Q48" s="42"/>
      <c r="R48" s="43"/>
      <c r="S48" s="106"/>
      <c r="T48" s="41"/>
      <c r="U48" s="41"/>
      <c r="V48" s="43"/>
      <c r="W48" s="22">
        <f t="shared" si="0"/>
        <v>0</v>
      </c>
      <c r="X48" s="44">
        <f t="shared" si="1"/>
        <v>0</v>
      </c>
      <c r="Y48" s="45">
        <f t="shared" si="2"/>
        <v>0</v>
      </c>
      <c r="Z48" s="44">
        <f t="shared" si="3"/>
        <v>0</v>
      </c>
      <c r="AA48" s="25" t="str">
        <f t="shared" si="4"/>
        <v/>
      </c>
      <c r="AB48" s="1"/>
      <c r="AC48" s="1"/>
    </row>
    <row r="49" spans="1:29" ht="19.5" customHeight="1">
      <c r="A49" s="26">
        <v>38</v>
      </c>
      <c r="B49" s="27"/>
      <c r="C49" s="101"/>
      <c r="D49" s="102"/>
      <c r="E49" s="101"/>
      <c r="F49" s="102"/>
      <c r="G49" s="101"/>
      <c r="H49" s="102"/>
      <c r="I49" s="101"/>
      <c r="J49" s="102"/>
      <c r="K49" s="101"/>
      <c r="L49" s="30"/>
      <c r="M49" s="31"/>
      <c r="N49" s="31"/>
      <c r="O49" s="103"/>
      <c r="P49" s="31"/>
      <c r="Q49" s="32"/>
      <c r="R49" s="33"/>
      <c r="S49" s="103"/>
      <c r="T49" s="31"/>
      <c r="U49" s="31"/>
      <c r="V49" s="33"/>
      <c r="W49" s="34">
        <f t="shared" si="0"/>
        <v>0</v>
      </c>
      <c r="X49" s="35">
        <f t="shared" si="1"/>
        <v>0</v>
      </c>
      <c r="Y49" s="36">
        <f t="shared" si="2"/>
        <v>0</v>
      </c>
      <c r="Z49" s="35">
        <f t="shared" si="3"/>
        <v>0</v>
      </c>
      <c r="AA49" s="25" t="str">
        <f t="shared" si="4"/>
        <v/>
      </c>
      <c r="AB49" s="1"/>
      <c r="AC49" s="1"/>
    </row>
    <row r="50" spans="1:29" ht="19.5" customHeight="1">
      <c r="A50" s="37">
        <v>39</v>
      </c>
      <c r="B50" s="46"/>
      <c r="C50" s="104"/>
      <c r="D50" s="105"/>
      <c r="E50" s="104"/>
      <c r="F50" s="105"/>
      <c r="G50" s="104"/>
      <c r="H50" s="105"/>
      <c r="I50" s="104"/>
      <c r="J50" s="105"/>
      <c r="K50" s="104"/>
      <c r="L50" s="40"/>
      <c r="M50" s="41"/>
      <c r="N50" s="41"/>
      <c r="O50" s="106"/>
      <c r="P50" s="41"/>
      <c r="Q50" s="42"/>
      <c r="R50" s="43"/>
      <c r="S50" s="106"/>
      <c r="T50" s="41"/>
      <c r="U50" s="41"/>
      <c r="V50" s="43"/>
      <c r="W50" s="22">
        <f t="shared" si="0"/>
        <v>0</v>
      </c>
      <c r="X50" s="44">
        <f t="shared" si="1"/>
        <v>0</v>
      </c>
      <c r="Y50" s="45">
        <f t="shared" si="2"/>
        <v>0</v>
      </c>
      <c r="Z50" s="44">
        <f t="shared" si="3"/>
        <v>0</v>
      </c>
      <c r="AA50" s="25" t="str">
        <f t="shared" si="4"/>
        <v/>
      </c>
      <c r="AB50" s="1"/>
      <c r="AC50" s="1"/>
    </row>
    <row r="51" spans="1:29" ht="19.5" customHeight="1">
      <c r="A51" s="47">
        <v>40</v>
      </c>
      <c r="B51" s="48"/>
      <c r="C51" s="108"/>
      <c r="D51" s="109"/>
      <c r="E51" s="108"/>
      <c r="F51" s="109"/>
      <c r="G51" s="108"/>
      <c r="H51" s="109"/>
      <c r="I51" s="108"/>
      <c r="J51" s="109"/>
      <c r="K51" s="108"/>
      <c r="L51" s="50"/>
      <c r="M51" s="51"/>
      <c r="N51" s="51"/>
      <c r="O51" s="110"/>
      <c r="P51" s="51"/>
      <c r="Q51" s="52"/>
      <c r="R51" s="53"/>
      <c r="S51" s="110"/>
      <c r="T51" s="51"/>
      <c r="U51" s="51"/>
      <c r="V51" s="53"/>
      <c r="W51" s="54">
        <f t="shared" si="0"/>
        <v>0</v>
      </c>
      <c r="X51" s="55">
        <f t="shared" si="1"/>
        <v>0</v>
      </c>
      <c r="Y51" s="56">
        <f t="shared" si="2"/>
        <v>0</v>
      </c>
      <c r="Z51" s="55">
        <f t="shared" si="3"/>
        <v>0</v>
      </c>
      <c r="AA51" s="25" t="str">
        <f t="shared" si="4"/>
        <v/>
      </c>
      <c r="AB51" s="1"/>
      <c r="AC51" s="1"/>
    </row>
    <row r="52" spans="1:29" ht="27" customHeight="1">
      <c r="A52" s="171" t="s">
        <v>53</v>
      </c>
      <c r="B52" s="172"/>
      <c r="C52" s="111" t="s">
        <v>25</v>
      </c>
      <c r="D52" s="111" t="s">
        <v>26</v>
      </c>
      <c r="E52" s="111" t="s">
        <v>27</v>
      </c>
      <c r="F52" s="111" t="s">
        <v>28</v>
      </c>
      <c r="G52" s="111" t="s">
        <v>29</v>
      </c>
      <c r="H52" s="111" t="s">
        <v>30</v>
      </c>
      <c r="I52" s="111" t="s">
        <v>31</v>
      </c>
      <c r="J52" s="111" t="s">
        <v>84</v>
      </c>
      <c r="K52" s="111" t="s">
        <v>85</v>
      </c>
      <c r="L52" s="111" t="s">
        <v>86</v>
      </c>
      <c r="M52" s="111" t="s">
        <v>87</v>
      </c>
      <c r="N52" s="111" t="s">
        <v>88</v>
      </c>
      <c r="O52" s="111" t="s">
        <v>91</v>
      </c>
      <c r="P52" s="111" t="s">
        <v>92</v>
      </c>
      <c r="Q52" s="111" t="s">
        <v>95</v>
      </c>
      <c r="R52" s="111" t="s">
        <v>96</v>
      </c>
      <c r="S52" s="111" t="s">
        <v>97</v>
      </c>
      <c r="T52" s="111" t="s">
        <v>98</v>
      </c>
      <c r="U52" s="111" t="s">
        <v>99</v>
      </c>
      <c r="V52" s="111" t="s">
        <v>100</v>
      </c>
      <c r="W52" s="1"/>
      <c r="X52" s="1"/>
      <c r="Y52" s="248" t="s">
        <v>145</v>
      </c>
      <c r="Z52" s="249"/>
      <c r="AA52" s="250"/>
      <c r="AB52" s="1"/>
      <c r="AC52" s="1"/>
    </row>
    <row r="53" spans="1:29" ht="27" customHeight="1">
      <c r="A53" s="239" t="s">
        <v>20</v>
      </c>
      <c r="B53" s="235"/>
      <c r="C53" s="112">
        <f t="shared" ref="C53:V53" si="5">COUNTIF(C12:C51,3)/COUNTA(C12:C51)*1</f>
        <v>0.75</v>
      </c>
      <c r="D53" s="112">
        <f t="shared" si="5"/>
        <v>1</v>
      </c>
      <c r="E53" s="112">
        <f t="shared" si="5"/>
        <v>0.75</v>
      </c>
      <c r="F53" s="112">
        <f t="shared" si="5"/>
        <v>1</v>
      </c>
      <c r="G53" s="112">
        <f t="shared" si="5"/>
        <v>0.75</v>
      </c>
      <c r="H53" s="112">
        <f t="shared" si="5"/>
        <v>0.75</v>
      </c>
      <c r="I53" s="112">
        <f t="shared" si="5"/>
        <v>0.75</v>
      </c>
      <c r="J53" s="112">
        <f t="shared" si="5"/>
        <v>0.75</v>
      </c>
      <c r="K53" s="112">
        <f t="shared" si="5"/>
        <v>0.5</v>
      </c>
      <c r="L53" s="112">
        <f t="shared" si="5"/>
        <v>0.75</v>
      </c>
      <c r="M53" s="112">
        <f t="shared" si="5"/>
        <v>0.5</v>
      </c>
      <c r="N53" s="112">
        <f t="shared" si="5"/>
        <v>0.5</v>
      </c>
      <c r="O53" s="112">
        <f t="shared" si="5"/>
        <v>0.25</v>
      </c>
      <c r="P53" s="112">
        <f t="shared" si="5"/>
        <v>0.5</v>
      </c>
      <c r="Q53" s="112">
        <f t="shared" si="5"/>
        <v>0.5</v>
      </c>
      <c r="R53" s="112">
        <f t="shared" si="5"/>
        <v>0.5</v>
      </c>
      <c r="S53" s="112">
        <f t="shared" si="5"/>
        <v>0.75</v>
      </c>
      <c r="T53" s="112">
        <f t="shared" si="5"/>
        <v>0.25</v>
      </c>
      <c r="U53" s="112">
        <f t="shared" si="5"/>
        <v>0.5</v>
      </c>
      <c r="V53" s="112">
        <f t="shared" si="5"/>
        <v>0.5</v>
      </c>
      <c r="W53" s="1"/>
      <c r="X53" s="1"/>
      <c r="Y53" s="212" t="s">
        <v>55</v>
      </c>
      <c r="Z53" s="213"/>
      <c r="AA53" s="217" t="s">
        <v>4</v>
      </c>
      <c r="AB53" s="221"/>
      <c r="AC53" s="61"/>
    </row>
    <row r="54" spans="1:29" ht="27" customHeight="1">
      <c r="A54" s="240" t="s">
        <v>21</v>
      </c>
      <c r="B54" s="235"/>
      <c r="C54" s="113">
        <f t="shared" ref="C54:V54" si="6">COUNTIF(C13:C52,2)/COUNTA(C13:C52)*1</f>
        <v>0</v>
      </c>
      <c r="D54" s="113">
        <f t="shared" si="6"/>
        <v>0</v>
      </c>
      <c r="E54" s="113">
        <f t="shared" si="6"/>
        <v>0</v>
      </c>
      <c r="F54" s="113">
        <f t="shared" si="6"/>
        <v>0</v>
      </c>
      <c r="G54" s="113">
        <f t="shared" si="6"/>
        <v>0</v>
      </c>
      <c r="H54" s="113">
        <f t="shared" si="6"/>
        <v>0</v>
      </c>
      <c r="I54" s="113">
        <f t="shared" si="6"/>
        <v>0</v>
      </c>
      <c r="J54" s="113">
        <f t="shared" si="6"/>
        <v>0</v>
      </c>
      <c r="K54" s="113">
        <f t="shared" si="6"/>
        <v>0</v>
      </c>
      <c r="L54" s="113">
        <f t="shared" si="6"/>
        <v>0.25</v>
      </c>
      <c r="M54" s="113">
        <f t="shared" si="6"/>
        <v>0.5</v>
      </c>
      <c r="N54" s="113">
        <f t="shared" si="6"/>
        <v>0</v>
      </c>
      <c r="O54" s="113">
        <f t="shared" si="6"/>
        <v>0</v>
      </c>
      <c r="P54" s="113">
        <f t="shared" si="6"/>
        <v>0.25</v>
      </c>
      <c r="Q54" s="113">
        <f t="shared" si="6"/>
        <v>0.25</v>
      </c>
      <c r="R54" s="113">
        <f t="shared" si="6"/>
        <v>0</v>
      </c>
      <c r="S54" s="113">
        <f t="shared" si="6"/>
        <v>0</v>
      </c>
      <c r="T54" s="113">
        <f t="shared" si="6"/>
        <v>0.25</v>
      </c>
      <c r="U54" s="113">
        <f t="shared" si="6"/>
        <v>0.25</v>
      </c>
      <c r="V54" s="113">
        <f t="shared" si="6"/>
        <v>0</v>
      </c>
      <c r="W54" s="1"/>
      <c r="X54" s="1"/>
      <c r="Y54" s="214"/>
      <c r="Z54" s="190"/>
      <c r="AA54" s="218"/>
      <c r="AB54" s="189"/>
      <c r="AC54" s="61"/>
    </row>
    <row r="55" spans="1:29" ht="26.25" customHeight="1">
      <c r="A55" s="241" t="s">
        <v>22</v>
      </c>
      <c r="B55" s="235"/>
      <c r="C55" s="114">
        <f t="shared" ref="C55:V55" si="7">COUNTIF(C12:C51,1)/COUNTA(C12:C51)*1</f>
        <v>0.25</v>
      </c>
      <c r="D55" s="114">
        <f t="shared" si="7"/>
        <v>0</v>
      </c>
      <c r="E55" s="114">
        <f t="shared" si="7"/>
        <v>0.25</v>
      </c>
      <c r="F55" s="114">
        <f t="shared" si="7"/>
        <v>0</v>
      </c>
      <c r="G55" s="114">
        <f t="shared" si="7"/>
        <v>0.25</v>
      </c>
      <c r="H55" s="114">
        <f t="shared" si="7"/>
        <v>0.25</v>
      </c>
      <c r="I55" s="114">
        <f t="shared" si="7"/>
        <v>0.25</v>
      </c>
      <c r="J55" s="114">
        <f t="shared" si="7"/>
        <v>0.25</v>
      </c>
      <c r="K55" s="114">
        <f t="shared" si="7"/>
        <v>0.5</v>
      </c>
      <c r="L55" s="114">
        <f t="shared" si="7"/>
        <v>0</v>
      </c>
      <c r="M55" s="114">
        <f t="shared" si="7"/>
        <v>0</v>
      </c>
      <c r="N55" s="114">
        <f t="shared" si="7"/>
        <v>0.5</v>
      </c>
      <c r="O55" s="114">
        <f t="shared" si="7"/>
        <v>0.75</v>
      </c>
      <c r="P55" s="114">
        <f t="shared" si="7"/>
        <v>0.25</v>
      </c>
      <c r="Q55" s="114">
        <f t="shared" si="7"/>
        <v>0.25</v>
      </c>
      <c r="R55" s="114">
        <f t="shared" si="7"/>
        <v>0.5</v>
      </c>
      <c r="S55" s="114">
        <f t="shared" si="7"/>
        <v>0.25</v>
      </c>
      <c r="T55" s="114">
        <f t="shared" si="7"/>
        <v>0.5</v>
      </c>
      <c r="U55" s="114">
        <f t="shared" si="7"/>
        <v>0.25</v>
      </c>
      <c r="V55" s="114">
        <f t="shared" si="7"/>
        <v>0.5</v>
      </c>
      <c r="W55" s="1"/>
      <c r="X55" s="1"/>
      <c r="Y55" s="215"/>
      <c r="Z55" s="216"/>
      <c r="AA55" s="219"/>
      <c r="AB55" s="189"/>
      <c r="AC55" s="61"/>
    </row>
    <row r="56" spans="1:29" ht="19.5" customHeight="1">
      <c r="A56" s="242" t="s">
        <v>23</v>
      </c>
      <c r="B56" s="235"/>
      <c r="C56" s="115">
        <f t="shared" ref="C56:V56" si="8">COUNTIF(C12:C51,0)/COUNTA(C12:C51)*1</f>
        <v>0</v>
      </c>
      <c r="D56" s="115">
        <f t="shared" si="8"/>
        <v>0</v>
      </c>
      <c r="E56" s="115">
        <f t="shared" si="8"/>
        <v>0</v>
      </c>
      <c r="F56" s="115">
        <f t="shared" si="8"/>
        <v>0</v>
      </c>
      <c r="G56" s="115">
        <f t="shared" si="8"/>
        <v>0</v>
      </c>
      <c r="H56" s="115">
        <f t="shared" si="8"/>
        <v>0</v>
      </c>
      <c r="I56" s="115">
        <f t="shared" si="8"/>
        <v>0</v>
      </c>
      <c r="J56" s="115">
        <f t="shared" si="8"/>
        <v>0</v>
      </c>
      <c r="K56" s="115">
        <f t="shared" si="8"/>
        <v>0</v>
      </c>
      <c r="L56" s="115">
        <f t="shared" si="8"/>
        <v>0</v>
      </c>
      <c r="M56" s="115">
        <f t="shared" si="8"/>
        <v>0</v>
      </c>
      <c r="N56" s="115">
        <f t="shared" si="8"/>
        <v>0</v>
      </c>
      <c r="O56" s="115">
        <f t="shared" si="8"/>
        <v>0</v>
      </c>
      <c r="P56" s="115">
        <f t="shared" si="8"/>
        <v>0</v>
      </c>
      <c r="Q56" s="115">
        <f t="shared" si="8"/>
        <v>0</v>
      </c>
      <c r="R56" s="115">
        <f t="shared" si="8"/>
        <v>0</v>
      </c>
      <c r="S56" s="115">
        <f t="shared" si="8"/>
        <v>0</v>
      </c>
      <c r="T56" s="115">
        <f t="shared" si="8"/>
        <v>0</v>
      </c>
      <c r="U56" s="115">
        <f t="shared" si="8"/>
        <v>0</v>
      </c>
      <c r="V56" s="115">
        <f t="shared" si="8"/>
        <v>0</v>
      </c>
      <c r="W56" s="1"/>
      <c r="X56" s="1"/>
      <c r="Y56" s="222" t="s">
        <v>56</v>
      </c>
      <c r="Z56" s="223"/>
      <c r="AA56" s="65">
        <f>COUNTIFS(AA12:AA51,"Logrado")</f>
        <v>1</v>
      </c>
      <c r="AB56" s="1"/>
      <c r="AC56" s="1"/>
    </row>
    <row r="57" spans="1:29" ht="19.5" customHeight="1">
      <c r="A57" s="224" t="s">
        <v>57</v>
      </c>
      <c r="B57" s="225"/>
      <c r="C57" s="116">
        <f t="shared" ref="C57:V57" si="9">SUM(C53:C56)</f>
        <v>1</v>
      </c>
      <c r="D57" s="116">
        <f t="shared" si="9"/>
        <v>1</v>
      </c>
      <c r="E57" s="116">
        <f t="shared" si="9"/>
        <v>1</v>
      </c>
      <c r="F57" s="116">
        <f t="shared" si="9"/>
        <v>1</v>
      </c>
      <c r="G57" s="116">
        <f t="shared" si="9"/>
        <v>1</v>
      </c>
      <c r="H57" s="116">
        <f t="shared" si="9"/>
        <v>1</v>
      </c>
      <c r="I57" s="116">
        <f t="shared" si="9"/>
        <v>1</v>
      </c>
      <c r="J57" s="116">
        <f t="shared" si="9"/>
        <v>1</v>
      </c>
      <c r="K57" s="116">
        <f t="shared" si="9"/>
        <v>1</v>
      </c>
      <c r="L57" s="116">
        <f t="shared" si="9"/>
        <v>1</v>
      </c>
      <c r="M57" s="116">
        <f t="shared" si="9"/>
        <v>1</v>
      </c>
      <c r="N57" s="116">
        <f t="shared" si="9"/>
        <v>1</v>
      </c>
      <c r="O57" s="116">
        <f t="shared" si="9"/>
        <v>1</v>
      </c>
      <c r="P57" s="116">
        <f t="shared" si="9"/>
        <v>1</v>
      </c>
      <c r="Q57" s="116">
        <f t="shared" si="9"/>
        <v>1</v>
      </c>
      <c r="R57" s="116">
        <f t="shared" si="9"/>
        <v>1</v>
      </c>
      <c r="S57" s="116">
        <f t="shared" si="9"/>
        <v>1</v>
      </c>
      <c r="T57" s="116">
        <f t="shared" si="9"/>
        <v>1</v>
      </c>
      <c r="U57" s="116">
        <f t="shared" si="9"/>
        <v>1</v>
      </c>
      <c r="V57" s="116">
        <f t="shared" si="9"/>
        <v>1</v>
      </c>
      <c r="W57" s="1"/>
      <c r="X57" s="1"/>
      <c r="Y57" s="234" t="s">
        <v>58</v>
      </c>
      <c r="Z57" s="235"/>
      <c r="AA57" s="67">
        <f>COUNTIFS(AA12:AA51,"Proceso")</f>
        <v>0</v>
      </c>
      <c r="AB57" s="1"/>
      <c r="AC57" s="1"/>
    </row>
    <row r="58" spans="1:29" ht="19.5" customHeight="1">
      <c r="A58" s="117"/>
      <c r="B58" s="117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"/>
      <c r="X58" s="1"/>
      <c r="Y58" s="236" t="s">
        <v>59</v>
      </c>
      <c r="Z58" s="237"/>
      <c r="AA58" s="69">
        <f>COUNTIFS(AA11:AA50,"Inicio")</f>
        <v>3</v>
      </c>
      <c r="AB58" s="1"/>
      <c r="AC58" s="1"/>
    </row>
    <row r="59" spans="1:29" ht="19.5" customHeight="1">
      <c r="A59" s="68"/>
      <c r="B59" s="68"/>
      <c r="C59" s="119"/>
      <c r="D59" s="119"/>
      <c r="E59" s="119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254" t="s">
        <v>101</v>
      </c>
      <c r="Z59" s="237"/>
      <c r="AA59" s="69">
        <f>COUNTIFS(AA12:AA51,"Previo al Inicio")</f>
        <v>0</v>
      </c>
      <c r="AB59" s="1"/>
      <c r="AC59" s="1"/>
    </row>
    <row r="60" spans="1:29" ht="34.5" customHeight="1">
      <c r="A60" s="226" t="s">
        <v>60</v>
      </c>
      <c r="B60" s="211"/>
      <c r="C60" s="120" t="str">
        <f t="shared" ref="C60:V60" si="10">IF(COUNTIF(C12:C51,3)/COUNTA(C12:C51)&lt;=0.25,"Previo al inicio",
   IF(COUNTIF(C12:C51,3)/COUNTA(C12:C51)&lt;=0.5,"Inicio",
   IF(COUNTIF(C12:C51,3)/COUNTA(C12:C51)&lt;=0.75,"Proceso",
   "Logrado")))</f>
        <v>Proceso</v>
      </c>
      <c r="D60" s="120" t="str">
        <f t="shared" si="10"/>
        <v>Logrado</v>
      </c>
      <c r="E60" s="120" t="str">
        <f t="shared" si="10"/>
        <v>Proceso</v>
      </c>
      <c r="F60" s="120" t="str">
        <f t="shared" si="10"/>
        <v>Logrado</v>
      </c>
      <c r="G60" s="120" t="str">
        <f t="shared" si="10"/>
        <v>Proceso</v>
      </c>
      <c r="H60" s="121" t="str">
        <f t="shared" si="10"/>
        <v>Proceso</v>
      </c>
      <c r="I60" s="122" t="str">
        <f t="shared" si="10"/>
        <v>Proceso</v>
      </c>
      <c r="J60" s="122" t="str">
        <f t="shared" si="10"/>
        <v>Proceso</v>
      </c>
      <c r="K60" s="123" t="str">
        <f t="shared" si="10"/>
        <v>Inicio</v>
      </c>
      <c r="L60" s="124" t="str">
        <f t="shared" si="10"/>
        <v>Proceso</v>
      </c>
      <c r="M60" s="125" t="str">
        <f t="shared" si="10"/>
        <v>Inicio</v>
      </c>
      <c r="N60" s="125" t="str">
        <f t="shared" si="10"/>
        <v>Inicio</v>
      </c>
      <c r="O60" s="126" t="str">
        <f t="shared" si="10"/>
        <v>Previo al inicio</v>
      </c>
      <c r="P60" s="125" t="str">
        <f t="shared" si="10"/>
        <v>Inicio</v>
      </c>
      <c r="Q60" s="125" t="str">
        <f t="shared" si="10"/>
        <v>Inicio</v>
      </c>
      <c r="R60" s="127" t="str">
        <f t="shared" si="10"/>
        <v>Inicio</v>
      </c>
      <c r="S60" s="124" t="str">
        <f t="shared" si="10"/>
        <v>Proceso</v>
      </c>
      <c r="T60" s="125" t="str">
        <f t="shared" si="10"/>
        <v>Previo al inicio</v>
      </c>
      <c r="U60" s="125" t="str">
        <f t="shared" si="10"/>
        <v>Inicio</v>
      </c>
      <c r="V60" s="128" t="str">
        <f t="shared" si="10"/>
        <v>Inicio</v>
      </c>
      <c r="W60" s="1"/>
      <c r="X60" s="1"/>
      <c r="Y60" s="238" t="s">
        <v>61</v>
      </c>
      <c r="Z60" s="211"/>
      <c r="AA60" s="74">
        <f>SUM(AA56:AA59)</f>
        <v>4</v>
      </c>
      <c r="AB60" s="1"/>
      <c r="AC60" s="1"/>
    </row>
    <row r="61" spans="1:29" ht="25.5" customHeight="1">
      <c r="A61" s="228" t="s">
        <v>62</v>
      </c>
      <c r="B61" s="229"/>
      <c r="C61" s="129"/>
      <c r="D61" s="130"/>
      <c r="E61" s="130"/>
      <c r="F61" s="130"/>
      <c r="G61" s="130"/>
      <c r="H61" s="130"/>
      <c r="I61" s="130"/>
      <c r="J61" s="130"/>
      <c r="K61" s="131"/>
      <c r="L61" s="251" t="str">
        <f>IF(SUM(L53:N53)&lt;=75%,"Previo al Inicio",IF(SUM(L53:N53)&lt;=150%,"Inicio",IF(SUM(L53:N53)&lt;=225%,"Proceso","Logrado")))</f>
        <v>Proceso</v>
      </c>
      <c r="M61" s="210"/>
      <c r="N61" s="252"/>
      <c r="O61" s="253" t="str">
        <f>IF(SUM(O53:R53)&lt;=100%,"Previo al Inicio",IF(SUM(O53:R53)&lt;=200%,"Inicio",IF(SUM(O53:R53)&lt;=300%,"Proceso","Logrado")))</f>
        <v>Inicio</v>
      </c>
      <c r="P61" s="210"/>
      <c r="Q61" s="210"/>
      <c r="R61" s="211"/>
      <c r="S61" s="226" t="str">
        <f>IF(SUM(S53:V53)&lt;=100%,"Previo al Inicio",IF(SUM(S53:V53)&lt;=200%,"Inicio",IF(SUM(S53:V53)&lt;=300%,"Proceso","Logrado")))</f>
        <v>Inicio</v>
      </c>
      <c r="T61" s="210"/>
      <c r="U61" s="210"/>
      <c r="V61" s="211"/>
      <c r="W61" s="75"/>
      <c r="X61" s="75"/>
      <c r="Y61" s="75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1"/>
      <c r="G63" s="1"/>
      <c r="H63" s="1"/>
      <c r="I63" s="1"/>
      <c r="J63" s="13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220" t="s">
        <v>63</v>
      </c>
      <c r="C64" s="210"/>
      <c r="D64" s="211"/>
      <c r="E64" s="133"/>
      <c r="F64" s="134"/>
      <c r="G64" s="13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76" t="s">
        <v>20</v>
      </c>
      <c r="C65" s="77" t="s">
        <v>64</v>
      </c>
      <c r="D65" s="78">
        <v>3</v>
      </c>
      <c r="E65" s="135"/>
      <c r="F65" s="135"/>
      <c r="G65" s="13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79" t="s">
        <v>21</v>
      </c>
      <c r="C66" s="45" t="s">
        <v>65</v>
      </c>
      <c r="D66" s="80">
        <v>2</v>
      </c>
      <c r="E66" s="135"/>
      <c r="F66" s="135"/>
      <c r="G66" s="13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81" t="s">
        <v>22</v>
      </c>
      <c r="C67" s="82" t="s">
        <v>66</v>
      </c>
      <c r="D67" s="83">
        <v>1</v>
      </c>
      <c r="E67" s="135"/>
      <c r="F67" s="135"/>
      <c r="G67" s="13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84" t="s">
        <v>23</v>
      </c>
      <c r="C68" s="85" t="s">
        <v>67</v>
      </c>
      <c r="D68" s="86">
        <v>0</v>
      </c>
      <c r="E68" s="135"/>
      <c r="F68" s="135"/>
      <c r="G68" s="13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/>
    <row r="83" spans="1:29" ht="15.75" customHeight="1"/>
    <row r="84" spans="1:29" ht="15.75" customHeight="1"/>
    <row r="85" spans="1:29" ht="15.75" customHeight="1"/>
    <row r="86" spans="1:29" ht="15.75" customHeight="1"/>
    <row r="87" spans="1:29" ht="15.75" customHeight="1"/>
    <row r="88" spans="1:29" ht="15.75" customHeight="1"/>
    <row r="89" spans="1:29" ht="15.75" customHeight="1"/>
    <row r="90" spans="1:29" ht="15.75" customHeight="1"/>
    <row r="91" spans="1:29" ht="15.75" customHeight="1"/>
    <row r="92" spans="1:29" ht="15.75" customHeight="1"/>
    <row r="93" spans="1:29" ht="15.75" customHeight="1"/>
    <row r="94" spans="1:29" ht="15.75" customHeight="1"/>
    <row r="95" spans="1:29" ht="15.75" customHeight="1"/>
    <row r="96" spans="1:2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55:B55"/>
    <mergeCell ref="Y52:AA52"/>
    <mergeCell ref="Y53:Z55"/>
    <mergeCell ref="AA53:AA55"/>
    <mergeCell ref="B64:D64"/>
    <mergeCell ref="AB53:AB55"/>
    <mergeCell ref="Y56:Z56"/>
    <mergeCell ref="A57:B57"/>
    <mergeCell ref="A60:B60"/>
    <mergeCell ref="A61:B61"/>
    <mergeCell ref="L61:N61"/>
    <mergeCell ref="O61:R61"/>
    <mergeCell ref="S61:V61"/>
    <mergeCell ref="Y57:Z57"/>
    <mergeCell ref="Y58:Z58"/>
    <mergeCell ref="Y59:Z59"/>
    <mergeCell ref="Y60:Z60"/>
    <mergeCell ref="W10:W11"/>
    <mergeCell ref="X10:X11"/>
    <mergeCell ref="A1:AA1"/>
    <mergeCell ref="A3:B3"/>
    <mergeCell ref="C3:AA3"/>
    <mergeCell ref="A5:A11"/>
    <mergeCell ref="C5:V5"/>
    <mergeCell ref="W5:Z9"/>
    <mergeCell ref="AA5:AA11"/>
    <mergeCell ref="Y10:Y11"/>
    <mergeCell ref="Z10:Z11"/>
    <mergeCell ref="A56:B56"/>
    <mergeCell ref="S6:V6"/>
    <mergeCell ref="L7:N7"/>
    <mergeCell ref="O7:R7"/>
    <mergeCell ref="S7:V7"/>
    <mergeCell ref="S8:V8"/>
    <mergeCell ref="L9:N9"/>
    <mergeCell ref="O9:R9"/>
    <mergeCell ref="S9:V9"/>
    <mergeCell ref="L6:N6"/>
    <mergeCell ref="O6:R6"/>
    <mergeCell ref="L8:N8"/>
    <mergeCell ref="O8:R8"/>
    <mergeCell ref="A52:B52"/>
    <mergeCell ref="A53:B53"/>
    <mergeCell ref="A54:B54"/>
  </mergeCells>
  <conditionalFormatting sqref="C60:V60">
    <cfRule type="expression" dxfId="135" priority="1">
      <formula>C60="Logrado"</formula>
    </cfRule>
  </conditionalFormatting>
  <conditionalFormatting sqref="C60:V60">
    <cfRule type="expression" dxfId="134" priority="2">
      <formula>C60="Proceso"</formula>
    </cfRule>
  </conditionalFormatting>
  <conditionalFormatting sqref="C60:V60">
    <cfRule type="expression" dxfId="133" priority="3">
      <formula>C60="Inicio"</formula>
    </cfRule>
  </conditionalFormatting>
  <conditionalFormatting sqref="C60:V60">
    <cfRule type="expression" dxfId="132" priority="4">
      <formula>C60="Previo al Inicio"</formula>
    </cfRule>
  </conditionalFormatting>
  <conditionalFormatting sqref="C61">
    <cfRule type="expression" dxfId="131" priority="5">
      <formula>C61="Previo al inicio"</formula>
    </cfRule>
  </conditionalFormatting>
  <conditionalFormatting sqref="C61">
    <cfRule type="expression" dxfId="130" priority="6">
      <formula>C61="Inicio"</formula>
    </cfRule>
  </conditionalFormatting>
  <conditionalFormatting sqref="C61">
    <cfRule type="expression" dxfId="129" priority="7">
      <formula>C61="Proceso"</formula>
    </cfRule>
  </conditionalFormatting>
  <conditionalFormatting sqref="C61">
    <cfRule type="expression" dxfId="128" priority="8">
      <formula>C61="Logrado"</formula>
    </cfRule>
  </conditionalFormatting>
  <conditionalFormatting sqref="H61">
    <cfRule type="expression" dxfId="127" priority="9">
      <formula>H61="Previo al inicio"</formula>
    </cfRule>
  </conditionalFormatting>
  <conditionalFormatting sqref="H61">
    <cfRule type="expression" dxfId="126" priority="10">
      <formula>H61="Inicio"</formula>
    </cfRule>
  </conditionalFormatting>
  <conditionalFormatting sqref="H61">
    <cfRule type="expression" dxfId="125" priority="11">
      <formula>H61="Proceso"</formula>
    </cfRule>
  </conditionalFormatting>
  <conditionalFormatting sqref="H61">
    <cfRule type="expression" dxfId="124" priority="12">
      <formula>H61="Logrado"</formula>
    </cfRule>
  </conditionalFormatting>
  <conditionalFormatting sqref="L61">
    <cfRule type="expression" dxfId="123" priority="13">
      <formula>L61="Previo al inicio"</formula>
    </cfRule>
  </conditionalFormatting>
  <conditionalFormatting sqref="L61">
    <cfRule type="expression" dxfId="122" priority="14">
      <formula>L61="Inicio"</formula>
    </cfRule>
  </conditionalFormatting>
  <conditionalFormatting sqref="L61">
    <cfRule type="expression" dxfId="121" priority="15">
      <formula>L61="Proceso"</formula>
    </cfRule>
  </conditionalFormatting>
  <conditionalFormatting sqref="L61">
    <cfRule type="expression" dxfId="120" priority="16">
      <formula>L61="Logrado"</formula>
    </cfRule>
  </conditionalFormatting>
  <conditionalFormatting sqref="O61">
    <cfRule type="expression" dxfId="119" priority="17">
      <formula>O61="Previo al inicio"</formula>
    </cfRule>
  </conditionalFormatting>
  <conditionalFormatting sqref="O61">
    <cfRule type="expression" dxfId="118" priority="18">
      <formula>O61="Inicio"</formula>
    </cfRule>
  </conditionalFormatting>
  <conditionalFormatting sqref="O61">
    <cfRule type="expression" dxfId="117" priority="19">
      <formula>O61="Proceso"</formula>
    </cfRule>
  </conditionalFormatting>
  <conditionalFormatting sqref="O61">
    <cfRule type="expression" dxfId="116" priority="20">
      <formula>O61="Logrado"</formula>
    </cfRule>
  </conditionalFormatting>
  <conditionalFormatting sqref="S61">
    <cfRule type="expression" dxfId="115" priority="21">
      <formula>S61="Previo al inicio"</formula>
    </cfRule>
  </conditionalFormatting>
  <conditionalFormatting sqref="S61">
    <cfRule type="expression" dxfId="114" priority="22">
      <formula>S61="Inicio"</formula>
    </cfRule>
  </conditionalFormatting>
  <conditionalFormatting sqref="S61">
    <cfRule type="expression" dxfId="113" priority="23">
      <formula>S61="Proceso"</formula>
    </cfRule>
  </conditionalFormatting>
  <conditionalFormatting sqref="S61">
    <cfRule type="expression" dxfId="112" priority="24">
      <formula>S61="Logrado"</formula>
    </cfRule>
  </conditionalFormatting>
  <conditionalFormatting sqref="AA12:AA51">
    <cfRule type="expression" dxfId="111" priority="25">
      <formula>AA12="Logrado"</formula>
    </cfRule>
  </conditionalFormatting>
  <conditionalFormatting sqref="AA12:AA51">
    <cfRule type="expression" dxfId="110" priority="26">
      <formula>AA12="Proceso"</formula>
    </cfRule>
  </conditionalFormatting>
  <conditionalFormatting sqref="AA12:AA51">
    <cfRule type="expression" dxfId="109" priority="27">
      <formula>AA12="Inicio"</formula>
    </cfRule>
  </conditionalFormatting>
  <conditionalFormatting sqref="AA12:AA51">
    <cfRule type="expression" dxfId="108" priority="28">
      <formula>AA12="Previo al Inicio"</formula>
    </cfRule>
  </conditionalFormatting>
  <dataValidations count="1">
    <dataValidation type="list" allowBlank="1" showErrorMessage="1" sqref="C12:V51 D65:E68" xr:uid="{00000000-0002-0000-0100-000000000000}">
      <formula1>"0,1,2,3"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1000"/>
  <sheetViews>
    <sheetView zoomScale="50" zoomScaleNormal="50" workbookViewId="0">
      <selection activeCell="B12" sqref="B12:Z16"/>
    </sheetView>
  </sheetViews>
  <sheetFormatPr baseColWidth="10" defaultColWidth="14.44140625" defaultRowHeight="15" customHeight="1"/>
  <cols>
    <col min="1" max="1" width="6.44140625" customWidth="1"/>
    <col min="2" max="2" width="44" customWidth="1"/>
    <col min="3" max="26" width="12.6640625" customWidth="1"/>
    <col min="27" max="30" width="10.6640625" customWidth="1"/>
    <col min="31" max="31" width="21" customWidth="1"/>
    <col min="32" max="32" width="10.6640625" customWidth="1"/>
    <col min="33" max="33" width="17.5546875" customWidth="1"/>
  </cols>
  <sheetData>
    <row r="1" spans="1:33" ht="33">
      <c r="A1" s="173" t="s">
        <v>102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5"/>
      <c r="AF1" s="1"/>
      <c r="AG1" s="1"/>
    </row>
    <row r="2" spans="1:33" ht="15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1">
      <c r="A3" s="176" t="s">
        <v>1</v>
      </c>
      <c r="B3" s="170"/>
      <c r="C3" s="178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70"/>
      <c r="AF3" s="1"/>
      <c r="AG3" s="1"/>
    </row>
    <row r="4" spans="1:33" ht="15.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1"/>
      <c r="AG4" s="1"/>
    </row>
    <row r="5" spans="1:33" ht="52.5" customHeight="1">
      <c r="A5" s="179" t="s">
        <v>2</v>
      </c>
      <c r="B5" s="3" t="s">
        <v>3</v>
      </c>
      <c r="C5" s="245" t="s">
        <v>4</v>
      </c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7"/>
      <c r="AA5" s="185" t="s">
        <v>5</v>
      </c>
      <c r="AB5" s="186"/>
      <c r="AC5" s="186"/>
      <c r="AD5" s="187"/>
      <c r="AE5" s="194" t="s">
        <v>6</v>
      </c>
      <c r="AF5" s="1"/>
      <c r="AG5" s="1"/>
    </row>
    <row r="6" spans="1:33" ht="52.5" customHeight="1">
      <c r="A6" s="180"/>
      <c r="B6" s="3" t="s">
        <v>7</v>
      </c>
      <c r="C6" s="195" t="s">
        <v>103</v>
      </c>
      <c r="D6" s="169"/>
      <c r="E6" s="169"/>
      <c r="F6" s="169"/>
      <c r="G6" s="170"/>
      <c r="H6" s="195" t="s">
        <v>104</v>
      </c>
      <c r="I6" s="169"/>
      <c r="J6" s="169"/>
      <c r="K6" s="259"/>
      <c r="L6" s="195" t="s">
        <v>105</v>
      </c>
      <c r="M6" s="169"/>
      <c r="N6" s="169"/>
      <c r="O6" s="169"/>
      <c r="P6" s="259"/>
      <c r="Q6" s="168" t="s">
        <v>106</v>
      </c>
      <c r="R6" s="169"/>
      <c r="S6" s="169"/>
      <c r="T6" s="169"/>
      <c r="U6" s="169"/>
      <c r="V6" s="170"/>
      <c r="W6" s="168" t="s">
        <v>107</v>
      </c>
      <c r="X6" s="169"/>
      <c r="Y6" s="169"/>
      <c r="Z6" s="170"/>
      <c r="AA6" s="188"/>
      <c r="AB6" s="189"/>
      <c r="AC6" s="189"/>
      <c r="AD6" s="190"/>
      <c r="AE6" s="180"/>
      <c r="AF6" s="1"/>
      <c r="AG6" s="1"/>
    </row>
    <row r="7" spans="1:33" ht="52.5" customHeight="1">
      <c r="A7" s="180"/>
      <c r="B7" s="4" t="s">
        <v>10</v>
      </c>
      <c r="C7" s="255" t="s">
        <v>81</v>
      </c>
      <c r="D7" s="198"/>
      <c r="E7" s="198"/>
      <c r="F7" s="198"/>
      <c r="G7" s="256"/>
      <c r="H7" s="197" t="s">
        <v>108</v>
      </c>
      <c r="I7" s="198"/>
      <c r="J7" s="198"/>
      <c r="K7" s="256"/>
      <c r="L7" s="197" t="s">
        <v>109</v>
      </c>
      <c r="M7" s="198"/>
      <c r="N7" s="198"/>
      <c r="O7" s="198"/>
      <c r="P7" s="256"/>
      <c r="Q7" s="197" t="s">
        <v>11</v>
      </c>
      <c r="R7" s="198"/>
      <c r="S7" s="198"/>
      <c r="T7" s="198"/>
      <c r="U7" s="198"/>
      <c r="V7" s="199"/>
      <c r="W7" s="197" t="s">
        <v>110</v>
      </c>
      <c r="X7" s="198"/>
      <c r="Y7" s="198"/>
      <c r="Z7" s="199"/>
      <c r="AA7" s="188"/>
      <c r="AB7" s="189"/>
      <c r="AC7" s="189"/>
      <c r="AD7" s="190"/>
      <c r="AE7" s="180"/>
      <c r="AF7" s="1"/>
      <c r="AG7" s="1"/>
    </row>
    <row r="8" spans="1:33" ht="52.5" customHeight="1">
      <c r="A8" s="180"/>
      <c r="B8" s="6" t="s">
        <v>12</v>
      </c>
      <c r="C8" s="195" t="s">
        <v>111</v>
      </c>
      <c r="D8" s="169"/>
      <c r="E8" s="169"/>
      <c r="F8" s="169"/>
      <c r="G8" s="170"/>
      <c r="H8" s="195" t="s">
        <v>111</v>
      </c>
      <c r="I8" s="169"/>
      <c r="J8" s="169"/>
      <c r="K8" s="170"/>
      <c r="L8" s="195" t="s">
        <v>112</v>
      </c>
      <c r="M8" s="169"/>
      <c r="N8" s="169"/>
      <c r="O8" s="169"/>
      <c r="P8" s="170"/>
      <c r="Q8" s="168" t="s">
        <v>14</v>
      </c>
      <c r="R8" s="169"/>
      <c r="S8" s="169"/>
      <c r="T8" s="169"/>
      <c r="U8" s="169"/>
      <c r="V8" s="170"/>
      <c r="W8" s="168" t="s">
        <v>113</v>
      </c>
      <c r="X8" s="169"/>
      <c r="Y8" s="169"/>
      <c r="Z8" s="170"/>
      <c r="AA8" s="188"/>
      <c r="AB8" s="189"/>
      <c r="AC8" s="189"/>
      <c r="AD8" s="190"/>
      <c r="AE8" s="180"/>
      <c r="AF8" s="1"/>
      <c r="AG8" s="1"/>
    </row>
    <row r="9" spans="1:33" ht="52.5" customHeight="1">
      <c r="A9" s="180"/>
      <c r="B9" s="6" t="s">
        <v>15</v>
      </c>
      <c r="C9" s="255" t="s">
        <v>16</v>
      </c>
      <c r="D9" s="198"/>
      <c r="E9" s="198"/>
      <c r="F9" s="198"/>
      <c r="G9" s="256"/>
      <c r="H9" s="255" t="s">
        <v>114</v>
      </c>
      <c r="I9" s="198"/>
      <c r="J9" s="198"/>
      <c r="K9" s="257"/>
      <c r="L9" s="255" t="s">
        <v>16</v>
      </c>
      <c r="M9" s="198"/>
      <c r="N9" s="198"/>
      <c r="O9" s="198"/>
      <c r="P9" s="257"/>
      <c r="Q9" s="197" t="s">
        <v>16</v>
      </c>
      <c r="R9" s="198"/>
      <c r="S9" s="198"/>
      <c r="T9" s="198"/>
      <c r="U9" s="198"/>
      <c r="V9" s="256"/>
      <c r="W9" s="197" t="s">
        <v>115</v>
      </c>
      <c r="X9" s="198"/>
      <c r="Y9" s="198"/>
      <c r="Z9" s="199"/>
      <c r="AA9" s="191"/>
      <c r="AB9" s="192"/>
      <c r="AC9" s="192"/>
      <c r="AD9" s="193"/>
      <c r="AE9" s="180"/>
      <c r="AF9" s="1"/>
      <c r="AG9" s="1"/>
    </row>
    <row r="10" spans="1:33" ht="151.5" customHeight="1">
      <c r="A10" s="180"/>
      <c r="B10" s="7" t="s">
        <v>17</v>
      </c>
      <c r="C10" s="95" t="s">
        <v>19</v>
      </c>
      <c r="D10" s="93" t="s">
        <v>18</v>
      </c>
      <c r="E10" s="93" t="s">
        <v>19</v>
      </c>
      <c r="F10" s="93" t="s">
        <v>83</v>
      </c>
      <c r="G10" s="11" t="s">
        <v>19</v>
      </c>
      <c r="H10" s="10" t="s">
        <v>18</v>
      </c>
      <c r="I10" s="93" t="s">
        <v>19</v>
      </c>
      <c r="J10" s="93" t="s">
        <v>83</v>
      </c>
      <c r="K10" s="11" t="s">
        <v>19</v>
      </c>
      <c r="L10" s="95" t="s">
        <v>18</v>
      </c>
      <c r="M10" s="93" t="s">
        <v>18</v>
      </c>
      <c r="N10" s="93" t="s">
        <v>19</v>
      </c>
      <c r="O10" s="93" t="s">
        <v>19</v>
      </c>
      <c r="P10" s="11" t="s">
        <v>19</v>
      </c>
      <c r="Q10" s="10" t="s">
        <v>18</v>
      </c>
      <c r="R10" s="93" t="s">
        <v>19</v>
      </c>
      <c r="S10" s="93" t="s">
        <v>19</v>
      </c>
      <c r="T10" s="93" t="s">
        <v>19</v>
      </c>
      <c r="U10" s="93" t="s">
        <v>19</v>
      </c>
      <c r="V10" s="11" t="s">
        <v>83</v>
      </c>
      <c r="W10" s="95" t="s">
        <v>18</v>
      </c>
      <c r="X10" s="93" t="s">
        <v>18</v>
      </c>
      <c r="Y10" s="93" t="s">
        <v>19</v>
      </c>
      <c r="Z10" s="11" t="s">
        <v>83</v>
      </c>
      <c r="AA10" s="200" t="s">
        <v>20</v>
      </c>
      <c r="AB10" s="202" t="s">
        <v>21</v>
      </c>
      <c r="AC10" s="258" t="s">
        <v>22</v>
      </c>
      <c r="AD10" s="207" t="s">
        <v>23</v>
      </c>
      <c r="AE10" s="180"/>
      <c r="AF10" s="1"/>
      <c r="AG10" s="1"/>
    </row>
    <row r="11" spans="1:33" ht="24" customHeight="1">
      <c r="A11" s="181"/>
      <c r="B11" s="12" t="s">
        <v>24</v>
      </c>
      <c r="C11" s="136" t="s">
        <v>25</v>
      </c>
      <c r="D11" s="136" t="s">
        <v>26</v>
      </c>
      <c r="E11" s="136" t="s">
        <v>27</v>
      </c>
      <c r="F11" s="136" t="s">
        <v>28</v>
      </c>
      <c r="G11" s="136" t="s">
        <v>29</v>
      </c>
      <c r="H11" s="136" t="s">
        <v>30</v>
      </c>
      <c r="I11" s="136" t="s">
        <v>31</v>
      </c>
      <c r="J11" s="136" t="s">
        <v>84</v>
      </c>
      <c r="K11" s="136" t="s">
        <v>85</v>
      </c>
      <c r="L11" s="136" t="s">
        <v>86</v>
      </c>
      <c r="M11" s="136" t="s">
        <v>87</v>
      </c>
      <c r="N11" s="136" t="s">
        <v>88</v>
      </c>
      <c r="O11" s="136" t="s">
        <v>89</v>
      </c>
      <c r="P11" s="136" t="s">
        <v>90</v>
      </c>
      <c r="Q11" s="136" t="s">
        <v>91</v>
      </c>
      <c r="R11" s="136" t="s">
        <v>92</v>
      </c>
      <c r="S11" s="136" t="s">
        <v>93</v>
      </c>
      <c r="T11" s="136" t="s">
        <v>94</v>
      </c>
      <c r="U11" s="136" t="s">
        <v>95</v>
      </c>
      <c r="V11" s="136" t="s">
        <v>96</v>
      </c>
      <c r="W11" s="136" t="s">
        <v>97</v>
      </c>
      <c r="X11" s="136" t="s">
        <v>98</v>
      </c>
      <c r="Y11" s="136" t="s">
        <v>99</v>
      </c>
      <c r="Z11" s="136" t="s">
        <v>100</v>
      </c>
      <c r="AA11" s="201"/>
      <c r="AB11" s="203"/>
      <c r="AC11" s="203"/>
      <c r="AD11" s="208"/>
      <c r="AE11" s="181"/>
      <c r="AF11" s="1"/>
      <c r="AG11" s="1"/>
    </row>
    <row r="12" spans="1:33" ht="19.5" customHeight="1">
      <c r="A12" s="14">
        <v>1</v>
      </c>
      <c r="B12" s="15"/>
      <c r="C12" s="100"/>
      <c r="D12" s="19"/>
      <c r="E12" s="19"/>
      <c r="F12" s="19"/>
      <c r="G12" s="21"/>
      <c r="H12" s="100"/>
      <c r="I12" s="19"/>
      <c r="J12" s="19"/>
      <c r="K12" s="21"/>
      <c r="L12" s="18"/>
      <c r="M12" s="19"/>
      <c r="N12" s="19"/>
      <c r="O12" s="19"/>
      <c r="P12" s="19"/>
      <c r="Q12" s="100"/>
      <c r="R12" s="19"/>
      <c r="S12" s="19"/>
      <c r="T12" s="19"/>
      <c r="U12" s="20"/>
      <c r="V12" s="21"/>
      <c r="W12" s="100"/>
      <c r="X12" s="19"/>
      <c r="Y12" s="19"/>
      <c r="Z12" s="21"/>
      <c r="AA12" s="22">
        <f t="shared" ref="AA12:AA51" si="0">COUNTIF(C12:Z12,3)</f>
        <v>0</v>
      </c>
      <c r="AB12" s="23">
        <f t="shared" ref="AB12:AB51" si="1">COUNTIF(C12:Z12,2)</f>
        <v>0</v>
      </c>
      <c r="AC12" s="23">
        <f t="shared" ref="AC12:AC51" si="2">COUNTIF(C12:Z12,1)</f>
        <v>0</v>
      </c>
      <c r="AD12" s="23">
        <f t="shared" ref="AD12:AD51" si="3">COUNTIF(C12:Z12,0)</f>
        <v>0</v>
      </c>
      <c r="AE12" s="137" t="str">
        <f t="shared" ref="AE12:AE51" si="4">IF(COUNTA(C12:Z12)=0, "",
   IF(COUNTIF(C12:Z12,3)&lt;=6, "Previo al Inicio",
   IF(COUNTIF(C12:Z12,3)&lt;=12, "Inicio",
   IF(COUNTIF(C12:Z12,3)&lt;=19, "Proceso",
   IF(COUNTIF(C12:Z12,3)&lt;=24, "Logrado", "")))))</f>
        <v/>
      </c>
      <c r="AF12" s="1"/>
      <c r="AG12" s="1"/>
    </row>
    <row r="13" spans="1:33" ht="19.5" customHeight="1">
      <c r="A13" s="26">
        <v>2</v>
      </c>
      <c r="B13" s="27"/>
      <c r="C13" s="103"/>
      <c r="D13" s="31"/>
      <c r="E13" s="31"/>
      <c r="F13" s="31"/>
      <c r="G13" s="33"/>
      <c r="H13" s="103"/>
      <c r="I13" s="31"/>
      <c r="J13" s="31"/>
      <c r="K13" s="33"/>
      <c r="L13" s="30"/>
      <c r="M13" s="31"/>
      <c r="N13" s="31"/>
      <c r="O13" s="31"/>
      <c r="P13" s="31"/>
      <c r="Q13" s="103"/>
      <c r="R13" s="31"/>
      <c r="S13" s="31"/>
      <c r="T13" s="31"/>
      <c r="U13" s="32"/>
      <c r="V13" s="33"/>
      <c r="W13" s="103"/>
      <c r="X13" s="31"/>
      <c r="Y13" s="31"/>
      <c r="Z13" s="33"/>
      <c r="AA13" s="34">
        <f t="shared" si="0"/>
        <v>0</v>
      </c>
      <c r="AB13" s="35">
        <f t="shared" si="1"/>
        <v>0</v>
      </c>
      <c r="AC13" s="35">
        <f t="shared" si="2"/>
        <v>0</v>
      </c>
      <c r="AD13" s="35">
        <f t="shared" si="3"/>
        <v>0</v>
      </c>
      <c r="AE13" s="25" t="str">
        <f t="shared" si="4"/>
        <v/>
      </c>
      <c r="AF13" s="1"/>
      <c r="AG13" s="1"/>
    </row>
    <row r="14" spans="1:33" ht="19.5" customHeight="1">
      <c r="A14" s="37">
        <v>3</v>
      </c>
      <c r="B14" s="46"/>
      <c r="C14" s="106"/>
      <c r="D14" s="41"/>
      <c r="E14" s="41"/>
      <c r="F14" s="41"/>
      <c r="G14" s="43"/>
      <c r="H14" s="106"/>
      <c r="I14" s="41"/>
      <c r="J14" s="41"/>
      <c r="K14" s="43"/>
      <c r="L14" s="40"/>
      <c r="M14" s="41"/>
      <c r="N14" s="41"/>
      <c r="O14" s="41"/>
      <c r="P14" s="41"/>
      <c r="Q14" s="106"/>
      <c r="R14" s="41"/>
      <c r="S14" s="41"/>
      <c r="T14" s="41"/>
      <c r="U14" s="42"/>
      <c r="V14" s="43"/>
      <c r="W14" s="106"/>
      <c r="X14" s="41"/>
      <c r="Y14" s="41"/>
      <c r="Z14" s="43"/>
      <c r="AA14" s="22">
        <f t="shared" si="0"/>
        <v>0</v>
      </c>
      <c r="AB14" s="44">
        <f t="shared" si="1"/>
        <v>0</v>
      </c>
      <c r="AC14" s="44">
        <f t="shared" si="2"/>
        <v>0</v>
      </c>
      <c r="AD14" s="44">
        <f t="shared" si="3"/>
        <v>0</v>
      </c>
      <c r="AE14" s="25" t="str">
        <f t="shared" si="4"/>
        <v/>
      </c>
      <c r="AF14" s="1"/>
      <c r="AG14" s="1"/>
    </row>
    <row r="15" spans="1:33" ht="19.5" customHeight="1">
      <c r="A15" s="26">
        <v>4</v>
      </c>
      <c r="B15" s="27"/>
      <c r="C15" s="103"/>
      <c r="D15" s="31"/>
      <c r="E15" s="31"/>
      <c r="F15" s="31"/>
      <c r="G15" s="33"/>
      <c r="H15" s="103"/>
      <c r="I15" s="31"/>
      <c r="J15" s="31"/>
      <c r="K15" s="33"/>
      <c r="L15" s="30"/>
      <c r="M15" s="31"/>
      <c r="N15" s="31"/>
      <c r="O15" s="31"/>
      <c r="P15" s="31"/>
      <c r="Q15" s="103"/>
      <c r="R15" s="31"/>
      <c r="S15" s="31"/>
      <c r="T15" s="31"/>
      <c r="U15" s="32"/>
      <c r="V15" s="33"/>
      <c r="W15" s="103"/>
      <c r="X15" s="31"/>
      <c r="Y15" s="31"/>
      <c r="Z15" s="33"/>
      <c r="AA15" s="34">
        <f t="shared" si="0"/>
        <v>0</v>
      </c>
      <c r="AB15" s="35">
        <f t="shared" si="1"/>
        <v>0</v>
      </c>
      <c r="AC15" s="35">
        <f t="shared" si="2"/>
        <v>0</v>
      </c>
      <c r="AD15" s="35">
        <f t="shared" si="3"/>
        <v>0</v>
      </c>
      <c r="AE15" s="25" t="str">
        <f t="shared" si="4"/>
        <v/>
      </c>
      <c r="AF15" s="1"/>
      <c r="AG15" s="1"/>
    </row>
    <row r="16" spans="1:33" ht="19.5" customHeight="1">
      <c r="A16" s="37">
        <v>5</v>
      </c>
      <c r="B16" s="46"/>
      <c r="C16" s="106"/>
      <c r="D16" s="41"/>
      <c r="E16" s="41"/>
      <c r="F16" s="41"/>
      <c r="G16" s="43"/>
      <c r="H16" s="106"/>
      <c r="I16" s="41"/>
      <c r="J16" s="41"/>
      <c r="K16" s="43"/>
      <c r="L16" s="40"/>
      <c r="M16" s="41"/>
      <c r="N16" s="41"/>
      <c r="O16" s="41"/>
      <c r="P16" s="41"/>
      <c r="Q16" s="106"/>
      <c r="R16" s="41"/>
      <c r="S16" s="41"/>
      <c r="T16" s="41"/>
      <c r="U16" s="42"/>
      <c r="V16" s="43"/>
      <c r="W16" s="106"/>
      <c r="X16" s="41"/>
      <c r="Y16" s="41"/>
      <c r="Z16" s="43"/>
      <c r="AA16" s="22">
        <f t="shared" si="0"/>
        <v>0</v>
      </c>
      <c r="AB16" s="44">
        <f t="shared" si="1"/>
        <v>0</v>
      </c>
      <c r="AC16" s="44">
        <f t="shared" si="2"/>
        <v>0</v>
      </c>
      <c r="AD16" s="44">
        <f t="shared" si="3"/>
        <v>0</v>
      </c>
      <c r="AE16" s="25" t="str">
        <f t="shared" si="4"/>
        <v/>
      </c>
      <c r="AF16" s="1"/>
      <c r="AG16" s="1"/>
    </row>
    <row r="17" spans="1:33" ht="19.5" customHeight="1">
      <c r="A17" s="26">
        <v>6</v>
      </c>
      <c r="B17" s="27"/>
      <c r="C17" s="103"/>
      <c r="D17" s="31"/>
      <c r="E17" s="31"/>
      <c r="F17" s="31"/>
      <c r="G17" s="33"/>
      <c r="H17" s="103"/>
      <c r="I17" s="31"/>
      <c r="J17" s="31"/>
      <c r="K17" s="33"/>
      <c r="L17" s="30"/>
      <c r="M17" s="31"/>
      <c r="N17" s="31"/>
      <c r="O17" s="31"/>
      <c r="P17" s="31"/>
      <c r="Q17" s="103"/>
      <c r="R17" s="31"/>
      <c r="S17" s="31"/>
      <c r="T17" s="31"/>
      <c r="U17" s="32"/>
      <c r="V17" s="33"/>
      <c r="W17" s="103"/>
      <c r="X17" s="31"/>
      <c r="Y17" s="31"/>
      <c r="Z17" s="33"/>
      <c r="AA17" s="34">
        <f t="shared" si="0"/>
        <v>0</v>
      </c>
      <c r="AB17" s="35">
        <f t="shared" si="1"/>
        <v>0</v>
      </c>
      <c r="AC17" s="35">
        <f t="shared" si="2"/>
        <v>0</v>
      </c>
      <c r="AD17" s="35">
        <f t="shared" si="3"/>
        <v>0</v>
      </c>
      <c r="AE17" s="25" t="str">
        <f t="shared" si="4"/>
        <v/>
      </c>
      <c r="AF17" s="1"/>
      <c r="AG17" s="1"/>
    </row>
    <row r="18" spans="1:33" ht="19.5" customHeight="1">
      <c r="A18" s="37">
        <v>7</v>
      </c>
      <c r="B18" s="46"/>
      <c r="C18" s="106"/>
      <c r="D18" s="41"/>
      <c r="E18" s="41"/>
      <c r="F18" s="41"/>
      <c r="G18" s="43"/>
      <c r="H18" s="106"/>
      <c r="I18" s="41"/>
      <c r="J18" s="41"/>
      <c r="K18" s="43"/>
      <c r="L18" s="40"/>
      <c r="M18" s="41"/>
      <c r="N18" s="41"/>
      <c r="O18" s="41"/>
      <c r="P18" s="41"/>
      <c r="Q18" s="106"/>
      <c r="R18" s="41"/>
      <c r="S18" s="41"/>
      <c r="T18" s="41"/>
      <c r="U18" s="42"/>
      <c r="V18" s="43"/>
      <c r="W18" s="106"/>
      <c r="X18" s="41"/>
      <c r="Y18" s="41"/>
      <c r="Z18" s="43"/>
      <c r="AA18" s="22">
        <f t="shared" si="0"/>
        <v>0</v>
      </c>
      <c r="AB18" s="44">
        <f t="shared" si="1"/>
        <v>0</v>
      </c>
      <c r="AC18" s="44">
        <f t="shared" si="2"/>
        <v>0</v>
      </c>
      <c r="AD18" s="44">
        <f t="shared" si="3"/>
        <v>0</v>
      </c>
      <c r="AE18" s="25" t="str">
        <f t="shared" si="4"/>
        <v/>
      </c>
      <c r="AF18" s="1"/>
      <c r="AG18" s="1"/>
    </row>
    <row r="19" spans="1:33" ht="19.5" customHeight="1">
      <c r="A19" s="26">
        <v>8</v>
      </c>
      <c r="B19" s="27"/>
      <c r="C19" s="103"/>
      <c r="D19" s="31"/>
      <c r="E19" s="31"/>
      <c r="F19" s="31"/>
      <c r="G19" s="33"/>
      <c r="H19" s="103"/>
      <c r="I19" s="31"/>
      <c r="J19" s="31"/>
      <c r="K19" s="33"/>
      <c r="L19" s="30"/>
      <c r="M19" s="31"/>
      <c r="N19" s="31"/>
      <c r="O19" s="31"/>
      <c r="P19" s="31"/>
      <c r="Q19" s="103"/>
      <c r="R19" s="31"/>
      <c r="S19" s="31"/>
      <c r="T19" s="31"/>
      <c r="U19" s="32"/>
      <c r="V19" s="33"/>
      <c r="W19" s="103"/>
      <c r="X19" s="31"/>
      <c r="Y19" s="31"/>
      <c r="Z19" s="33"/>
      <c r="AA19" s="34">
        <f t="shared" si="0"/>
        <v>0</v>
      </c>
      <c r="AB19" s="35">
        <f t="shared" si="1"/>
        <v>0</v>
      </c>
      <c r="AC19" s="35">
        <f t="shared" si="2"/>
        <v>0</v>
      </c>
      <c r="AD19" s="35">
        <f t="shared" si="3"/>
        <v>0</v>
      </c>
      <c r="AE19" s="25" t="str">
        <f t="shared" si="4"/>
        <v/>
      </c>
      <c r="AF19" s="1"/>
      <c r="AG19" s="1"/>
    </row>
    <row r="20" spans="1:33" ht="19.5" customHeight="1">
      <c r="A20" s="37">
        <v>9</v>
      </c>
      <c r="B20" s="46"/>
      <c r="C20" s="106"/>
      <c r="D20" s="41"/>
      <c r="E20" s="41"/>
      <c r="F20" s="41"/>
      <c r="G20" s="43"/>
      <c r="H20" s="106"/>
      <c r="I20" s="41"/>
      <c r="J20" s="41"/>
      <c r="K20" s="43"/>
      <c r="L20" s="40"/>
      <c r="M20" s="41"/>
      <c r="N20" s="41"/>
      <c r="O20" s="41"/>
      <c r="P20" s="41"/>
      <c r="Q20" s="106"/>
      <c r="R20" s="41"/>
      <c r="S20" s="41"/>
      <c r="T20" s="41"/>
      <c r="U20" s="42"/>
      <c r="V20" s="43"/>
      <c r="W20" s="106"/>
      <c r="X20" s="41"/>
      <c r="Y20" s="41"/>
      <c r="Z20" s="43"/>
      <c r="AA20" s="22">
        <f t="shared" si="0"/>
        <v>0</v>
      </c>
      <c r="AB20" s="44">
        <f t="shared" si="1"/>
        <v>0</v>
      </c>
      <c r="AC20" s="44">
        <f t="shared" si="2"/>
        <v>0</v>
      </c>
      <c r="AD20" s="44">
        <f t="shared" si="3"/>
        <v>0</v>
      </c>
      <c r="AE20" s="25" t="str">
        <f t="shared" si="4"/>
        <v/>
      </c>
      <c r="AF20" s="1"/>
      <c r="AG20" s="1"/>
    </row>
    <row r="21" spans="1:33" ht="19.5" customHeight="1">
      <c r="A21" s="26">
        <v>10</v>
      </c>
      <c r="B21" s="27"/>
      <c r="C21" s="103"/>
      <c r="D21" s="31"/>
      <c r="E21" s="31"/>
      <c r="F21" s="31"/>
      <c r="G21" s="33"/>
      <c r="H21" s="103"/>
      <c r="I21" s="31"/>
      <c r="J21" s="31"/>
      <c r="K21" s="33"/>
      <c r="L21" s="30"/>
      <c r="M21" s="31"/>
      <c r="N21" s="31"/>
      <c r="O21" s="31"/>
      <c r="P21" s="31"/>
      <c r="Q21" s="103"/>
      <c r="R21" s="31"/>
      <c r="S21" s="31"/>
      <c r="T21" s="31"/>
      <c r="U21" s="32"/>
      <c r="V21" s="33"/>
      <c r="W21" s="103"/>
      <c r="X21" s="31"/>
      <c r="Y21" s="31"/>
      <c r="Z21" s="33"/>
      <c r="AA21" s="34">
        <f t="shared" si="0"/>
        <v>0</v>
      </c>
      <c r="AB21" s="35">
        <f t="shared" si="1"/>
        <v>0</v>
      </c>
      <c r="AC21" s="35">
        <f t="shared" si="2"/>
        <v>0</v>
      </c>
      <c r="AD21" s="35">
        <f t="shared" si="3"/>
        <v>0</v>
      </c>
      <c r="AE21" s="25" t="str">
        <f t="shared" si="4"/>
        <v/>
      </c>
      <c r="AF21" s="1"/>
      <c r="AG21" s="1"/>
    </row>
    <row r="22" spans="1:33" ht="19.5" customHeight="1">
      <c r="A22" s="37">
        <v>11</v>
      </c>
      <c r="B22" s="46"/>
      <c r="C22" s="106"/>
      <c r="D22" s="41"/>
      <c r="E22" s="41"/>
      <c r="F22" s="41"/>
      <c r="G22" s="43"/>
      <c r="H22" s="106"/>
      <c r="I22" s="41"/>
      <c r="J22" s="41"/>
      <c r="K22" s="43"/>
      <c r="L22" s="40"/>
      <c r="M22" s="41"/>
      <c r="N22" s="41"/>
      <c r="O22" s="41"/>
      <c r="P22" s="41"/>
      <c r="Q22" s="106"/>
      <c r="R22" s="41"/>
      <c r="S22" s="41"/>
      <c r="T22" s="41"/>
      <c r="U22" s="42"/>
      <c r="V22" s="43"/>
      <c r="W22" s="106"/>
      <c r="X22" s="41"/>
      <c r="Y22" s="41"/>
      <c r="Z22" s="43"/>
      <c r="AA22" s="22">
        <f t="shared" si="0"/>
        <v>0</v>
      </c>
      <c r="AB22" s="44">
        <f t="shared" si="1"/>
        <v>0</v>
      </c>
      <c r="AC22" s="44">
        <f t="shared" si="2"/>
        <v>0</v>
      </c>
      <c r="AD22" s="44">
        <f t="shared" si="3"/>
        <v>0</v>
      </c>
      <c r="AE22" s="25" t="str">
        <f t="shared" si="4"/>
        <v/>
      </c>
      <c r="AF22" s="1"/>
      <c r="AG22" s="1"/>
    </row>
    <row r="23" spans="1:33" ht="19.5" customHeight="1">
      <c r="A23" s="26">
        <v>12</v>
      </c>
      <c r="B23" s="27"/>
      <c r="C23" s="103"/>
      <c r="D23" s="31"/>
      <c r="E23" s="31"/>
      <c r="F23" s="31"/>
      <c r="G23" s="33"/>
      <c r="H23" s="103"/>
      <c r="I23" s="31"/>
      <c r="J23" s="31"/>
      <c r="K23" s="33"/>
      <c r="L23" s="30"/>
      <c r="M23" s="31"/>
      <c r="N23" s="31"/>
      <c r="O23" s="31"/>
      <c r="P23" s="31"/>
      <c r="Q23" s="103"/>
      <c r="R23" s="31"/>
      <c r="S23" s="31"/>
      <c r="T23" s="31"/>
      <c r="U23" s="32"/>
      <c r="V23" s="33"/>
      <c r="W23" s="103"/>
      <c r="X23" s="31"/>
      <c r="Y23" s="31"/>
      <c r="Z23" s="33"/>
      <c r="AA23" s="34">
        <f t="shared" si="0"/>
        <v>0</v>
      </c>
      <c r="AB23" s="35">
        <f t="shared" si="1"/>
        <v>0</v>
      </c>
      <c r="AC23" s="35">
        <f t="shared" si="2"/>
        <v>0</v>
      </c>
      <c r="AD23" s="35">
        <f t="shared" si="3"/>
        <v>0</v>
      </c>
      <c r="AE23" s="25" t="str">
        <f t="shared" si="4"/>
        <v/>
      </c>
      <c r="AF23" s="1"/>
      <c r="AG23" s="1"/>
    </row>
    <row r="24" spans="1:33" ht="19.5" customHeight="1">
      <c r="A24" s="37">
        <v>13</v>
      </c>
      <c r="B24" s="46"/>
      <c r="C24" s="106"/>
      <c r="D24" s="41"/>
      <c r="E24" s="41"/>
      <c r="F24" s="41"/>
      <c r="G24" s="43"/>
      <c r="H24" s="106"/>
      <c r="I24" s="41"/>
      <c r="J24" s="41"/>
      <c r="K24" s="43"/>
      <c r="L24" s="40"/>
      <c r="M24" s="41"/>
      <c r="N24" s="41"/>
      <c r="O24" s="41"/>
      <c r="P24" s="41"/>
      <c r="Q24" s="106"/>
      <c r="R24" s="41"/>
      <c r="S24" s="41"/>
      <c r="T24" s="41"/>
      <c r="U24" s="42"/>
      <c r="V24" s="43"/>
      <c r="W24" s="106"/>
      <c r="X24" s="41"/>
      <c r="Y24" s="41"/>
      <c r="Z24" s="43"/>
      <c r="AA24" s="22">
        <f t="shared" si="0"/>
        <v>0</v>
      </c>
      <c r="AB24" s="44">
        <f t="shared" si="1"/>
        <v>0</v>
      </c>
      <c r="AC24" s="44">
        <f t="shared" si="2"/>
        <v>0</v>
      </c>
      <c r="AD24" s="44">
        <f t="shared" si="3"/>
        <v>0</v>
      </c>
      <c r="AE24" s="25" t="str">
        <f t="shared" si="4"/>
        <v/>
      </c>
      <c r="AF24" s="1"/>
      <c r="AG24" s="1"/>
    </row>
    <row r="25" spans="1:33" ht="19.5" customHeight="1">
      <c r="A25" s="26">
        <v>14</v>
      </c>
      <c r="B25" s="27"/>
      <c r="C25" s="103"/>
      <c r="D25" s="31"/>
      <c r="E25" s="31"/>
      <c r="F25" s="31"/>
      <c r="G25" s="33"/>
      <c r="H25" s="103"/>
      <c r="I25" s="31"/>
      <c r="J25" s="31"/>
      <c r="K25" s="33"/>
      <c r="L25" s="30"/>
      <c r="M25" s="31"/>
      <c r="N25" s="31"/>
      <c r="O25" s="31"/>
      <c r="P25" s="31"/>
      <c r="Q25" s="103"/>
      <c r="R25" s="31"/>
      <c r="S25" s="31"/>
      <c r="T25" s="31"/>
      <c r="U25" s="32"/>
      <c r="V25" s="33"/>
      <c r="W25" s="103"/>
      <c r="X25" s="31"/>
      <c r="Y25" s="31"/>
      <c r="Z25" s="33"/>
      <c r="AA25" s="34">
        <f t="shared" si="0"/>
        <v>0</v>
      </c>
      <c r="AB25" s="35">
        <f t="shared" si="1"/>
        <v>0</v>
      </c>
      <c r="AC25" s="35">
        <f t="shared" si="2"/>
        <v>0</v>
      </c>
      <c r="AD25" s="35">
        <f t="shared" si="3"/>
        <v>0</v>
      </c>
      <c r="AE25" s="25" t="str">
        <f t="shared" si="4"/>
        <v/>
      </c>
      <c r="AF25" s="1"/>
      <c r="AG25" s="1"/>
    </row>
    <row r="26" spans="1:33" ht="19.5" customHeight="1">
      <c r="A26" s="37">
        <v>15</v>
      </c>
      <c r="B26" s="46"/>
      <c r="C26" s="106"/>
      <c r="D26" s="41"/>
      <c r="E26" s="41"/>
      <c r="F26" s="41"/>
      <c r="G26" s="43"/>
      <c r="H26" s="106"/>
      <c r="I26" s="41"/>
      <c r="J26" s="41"/>
      <c r="K26" s="43"/>
      <c r="L26" s="40"/>
      <c r="M26" s="41"/>
      <c r="N26" s="41"/>
      <c r="O26" s="41"/>
      <c r="P26" s="41"/>
      <c r="Q26" s="106"/>
      <c r="R26" s="41"/>
      <c r="S26" s="41"/>
      <c r="T26" s="41"/>
      <c r="U26" s="42"/>
      <c r="V26" s="43"/>
      <c r="W26" s="106"/>
      <c r="X26" s="41"/>
      <c r="Y26" s="41"/>
      <c r="Z26" s="43"/>
      <c r="AA26" s="22">
        <f t="shared" si="0"/>
        <v>0</v>
      </c>
      <c r="AB26" s="44">
        <f t="shared" si="1"/>
        <v>0</v>
      </c>
      <c r="AC26" s="44">
        <f t="shared" si="2"/>
        <v>0</v>
      </c>
      <c r="AD26" s="44">
        <f t="shared" si="3"/>
        <v>0</v>
      </c>
      <c r="AE26" s="25" t="str">
        <f t="shared" si="4"/>
        <v/>
      </c>
      <c r="AF26" s="1"/>
      <c r="AG26" s="107"/>
    </row>
    <row r="27" spans="1:33" ht="19.5" customHeight="1">
      <c r="A27" s="26">
        <v>16</v>
      </c>
      <c r="B27" s="27"/>
      <c r="C27" s="103"/>
      <c r="D27" s="31"/>
      <c r="E27" s="31"/>
      <c r="F27" s="31"/>
      <c r="G27" s="33"/>
      <c r="H27" s="103"/>
      <c r="I27" s="31"/>
      <c r="J27" s="31"/>
      <c r="K27" s="33"/>
      <c r="L27" s="30"/>
      <c r="M27" s="31"/>
      <c r="N27" s="31"/>
      <c r="O27" s="31"/>
      <c r="P27" s="31"/>
      <c r="Q27" s="103"/>
      <c r="R27" s="31"/>
      <c r="S27" s="31"/>
      <c r="T27" s="31"/>
      <c r="U27" s="32"/>
      <c r="V27" s="33"/>
      <c r="W27" s="103"/>
      <c r="X27" s="31"/>
      <c r="Y27" s="31"/>
      <c r="Z27" s="33"/>
      <c r="AA27" s="34">
        <f t="shared" si="0"/>
        <v>0</v>
      </c>
      <c r="AB27" s="35">
        <f t="shared" si="1"/>
        <v>0</v>
      </c>
      <c r="AC27" s="35">
        <f t="shared" si="2"/>
        <v>0</v>
      </c>
      <c r="AD27" s="35">
        <f t="shared" si="3"/>
        <v>0</v>
      </c>
      <c r="AE27" s="25" t="str">
        <f t="shared" si="4"/>
        <v/>
      </c>
      <c r="AF27" s="1"/>
      <c r="AG27" s="1"/>
    </row>
    <row r="28" spans="1:33" ht="19.5" customHeight="1">
      <c r="A28" s="37">
        <v>17</v>
      </c>
      <c r="B28" s="46"/>
      <c r="C28" s="106"/>
      <c r="D28" s="41"/>
      <c r="E28" s="41"/>
      <c r="F28" s="41"/>
      <c r="G28" s="43"/>
      <c r="H28" s="106"/>
      <c r="I28" s="41"/>
      <c r="J28" s="41"/>
      <c r="K28" s="43"/>
      <c r="L28" s="40"/>
      <c r="M28" s="41"/>
      <c r="N28" s="41"/>
      <c r="O28" s="41"/>
      <c r="P28" s="41"/>
      <c r="Q28" s="106"/>
      <c r="R28" s="41"/>
      <c r="S28" s="41"/>
      <c r="T28" s="41"/>
      <c r="U28" s="42"/>
      <c r="V28" s="43"/>
      <c r="W28" s="106"/>
      <c r="X28" s="41"/>
      <c r="Y28" s="41"/>
      <c r="Z28" s="43"/>
      <c r="AA28" s="22">
        <f t="shared" si="0"/>
        <v>0</v>
      </c>
      <c r="AB28" s="44">
        <f t="shared" si="1"/>
        <v>0</v>
      </c>
      <c r="AC28" s="44">
        <f t="shared" si="2"/>
        <v>0</v>
      </c>
      <c r="AD28" s="44">
        <f t="shared" si="3"/>
        <v>0</v>
      </c>
      <c r="AE28" s="25" t="str">
        <f t="shared" si="4"/>
        <v/>
      </c>
      <c r="AF28" s="1"/>
      <c r="AG28" s="1"/>
    </row>
    <row r="29" spans="1:33" ht="19.5" customHeight="1">
      <c r="A29" s="26">
        <v>18</v>
      </c>
      <c r="B29" s="27"/>
      <c r="C29" s="103"/>
      <c r="D29" s="31"/>
      <c r="E29" s="31"/>
      <c r="F29" s="31"/>
      <c r="G29" s="33"/>
      <c r="H29" s="103"/>
      <c r="I29" s="31"/>
      <c r="J29" s="31"/>
      <c r="K29" s="33"/>
      <c r="L29" s="30"/>
      <c r="M29" s="31"/>
      <c r="N29" s="31"/>
      <c r="O29" s="31"/>
      <c r="P29" s="31"/>
      <c r="Q29" s="103"/>
      <c r="R29" s="31"/>
      <c r="S29" s="31"/>
      <c r="T29" s="31"/>
      <c r="U29" s="32"/>
      <c r="V29" s="33"/>
      <c r="W29" s="103"/>
      <c r="X29" s="31"/>
      <c r="Y29" s="31"/>
      <c r="Z29" s="33"/>
      <c r="AA29" s="34">
        <f t="shared" si="0"/>
        <v>0</v>
      </c>
      <c r="AB29" s="35">
        <f t="shared" si="1"/>
        <v>0</v>
      </c>
      <c r="AC29" s="35">
        <f t="shared" si="2"/>
        <v>0</v>
      </c>
      <c r="AD29" s="35">
        <f t="shared" si="3"/>
        <v>0</v>
      </c>
      <c r="AE29" s="25" t="str">
        <f t="shared" si="4"/>
        <v/>
      </c>
      <c r="AF29" s="1"/>
      <c r="AG29" s="1"/>
    </row>
    <row r="30" spans="1:33" ht="19.5" customHeight="1">
      <c r="A30" s="37">
        <v>19</v>
      </c>
      <c r="B30" s="46"/>
      <c r="C30" s="106"/>
      <c r="D30" s="41"/>
      <c r="E30" s="41"/>
      <c r="F30" s="41"/>
      <c r="G30" s="43"/>
      <c r="H30" s="106"/>
      <c r="I30" s="41"/>
      <c r="J30" s="41"/>
      <c r="K30" s="43"/>
      <c r="L30" s="40"/>
      <c r="M30" s="41"/>
      <c r="N30" s="41"/>
      <c r="O30" s="41"/>
      <c r="P30" s="41"/>
      <c r="Q30" s="106"/>
      <c r="R30" s="41"/>
      <c r="S30" s="41"/>
      <c r="T30" s="41"/>
      <c r="U30" s="42"/>
      <c r="V30" s="43"/>
      <c r="W30" s="106"/>
      <c r="X30" s="41"/>
      <c r="Y30" s="41"/>
      <c r="Z30" s="43"/>
      <c r="AA30" s="22">
        <f t="shared" si="0"/>
        <v>0</v>
      </c>
      <c r="AB30" s="44">
        <f t="shared" si="1"/>
        <v>0</v>
      </c>
      <c r="AC30" s="44">
        <f t="shared" si="2"/>
        <v>0</v>
      </c>
      <c r="AD30" s="44">
        <f t="shared" si="3"/>
        <v>0</v>
      </c>
      <c r="AE30" s="25" t="str">
        <f t="shared" si="4"/>
        <v/>
      </c>
      <c r="AF30" s="1"/>
      <c r="AG30" s="1"/>
    </row>
    <row r="31" spans="1:33" ht="19.5" customHeight="1">
      <c r="A31" s="26">
        <v>20</v>
      </c>
      <c r="B31" s="27"/>
      <c r="C31" s="103"/>
      <c r="D31" s="31"/>
      <c r="E31" s="31"/>
      <c r="F31" s="31"/>
      <c r="G31" s="33"/>
      <c r="H31" s="103"/>
      <c r="I31" s="31"/>
      <c r="J31" s="31"/>
      <c r="K31" s="33"/>
      <c r="L31" s="30"/>
      <c r="M31" s="31"/>
      <c r="N31" s="31"/>
      <c r="O31" s="31"/>
      <c r="P31" s="31"/>
      <c r="Q31" s="103"/>
      <c r="R31" s="31"/>
      <c r="S31" s="31"/>
      <c r="T31" s="31"/>
      <c r="U31" s="32"/>
      <c r="V31" s="33"/>
      <c r="W31" s="103"/>
      <c r="X31" s="31"/>
      <c r="Y31" s="31"/>
      <c r="Z31" s="33"/>
      <c r="AA31" s="34">
        <f t="shared" si="0"/>
        <v>0</v>
      </c>
      <c r="AB31" s="35">
        <f t="shared" si="1"/>
        <v>0</v>
      </c>
      <c r="AC31" s="35">
        <f t="shared" si="2"/>
        <v>0</v>
      </c>
      <c r="AD31" s="35">
        <f t="shared" si="3"/>
        <v>0</v>
      </c>
      <c r="AE31" s="25" t="str">
        <f t="shared" si="4"/>
        <v/>
      </c>
      <c r="AF31" s="1"/>
      <c r="AG31" s="1"/>
    </row>
    <row r="32" spans="1:33" ht="19.5" customHeight="1">
      <c r="A32" s="37">
        <v>21</v>
      </c>
      <c r="B32" s="46"/>
      <c r="C32" s="106"/>
      <c r="D32" s="41"/>
      <c r="E32" s="41"/>
      <c r="F32" s="41"/>
      <c r="G32" s="43"/>
      <c r="H32" s="106"/>
      <c r="I32" s="41"/>
      <c r="J32" s="41"/>
      <c r="K32" s="43"/>
      <c r="L32" s="40"/>
      <c r="M32" s="41"/>
      <c r="N32" s="41"/>
      <c r="O32" s="41"/>
      <c r="P32" s="41"/>
      <c r="Q32" s="106"/>
      <c r="R32" s="41"/>
      <c r="S32" s="41"/>
      <c r="T32" s="41"/>
      <c r="U32" s="42"/>
      <c r="V32" s="43"/>
      <c r="W32" s="106"/>
      <c r="X32" s="41"/>
      <c r="Y32" s="41"/>
      <c r="Z32" s="43"/>
      <c r="AA32" s="22">
        <f t="shared" si="0"/>
        <v>0</v>
      </c>
      <c r="AB32" s="44">
        <f t="shared" si="1"/>
        <v>0</v>
      </c>
      <c r="AC32" s="44">
        <f t="shared" si="2"/>
        <v>0</v>
      </c>
      <c r="AD32" s="44">
        <f t="shared" si="3"/>
        <v>0</v>
      </c>
      <c r="AE32" s="25" t="str">
        <f t="shared" si="4"/>
        <v/>
      </c>
      <c r="AF32" s="1"/>
      <c r="AG32" s="1"/>
    </row>
    <row r="33" spans="1:33" ht="19.5" customHeight="1">
      <c r="A33" s="26">
        <v>22</v>
      </c>
      <c r="B33" s="27"/>
      <c r="C33" s="103"/>
      <c r="D33" s="31"/>
      <c r="E33" s="31"/>
      <c r="F33" s="31"/>
      <c r="G33" s="33"/>
      <c r="H33" s="103"/>
      <c r="I33" s="31"/>
      <c r="J33" s="31"/>
      <c r="K33" s="33"/>
      <c r="L33" s="30"/>
      <c r="M33" s="31"/>
      <c r="N33" s="31"/>
      <c r="O33" s="31"/>
      <c r="P33" s="31"/>
      <c r="Q33" s="103"/>
      <c r="R33" s="31"/>
      <c r="S33" s="31"/>
      <c r="T33" s="31"/>
      <c r="U33" s="32"/>
      <c r="V33" s="33"/>
      <c r="W33" s="103"/>
      <c r="X33" s="31"/>
      <c r="Y33" s="31"/>
      <c r="Z33" s="33"/>
      <c r="AA33" s="34">
        <f t="shared" si="0"/>
        <v>0</v>
      </c>
      <c r="AB33" s="35">
        <f t="shared" si="1"/>
        <v>0</v>
      </c>
      <c r="AC33" s="35">
        <f t="shared" si="2"/>
        <v>0</v>
      </c>
      <c r="AD33" s="35">
        <f t="shared" si="3"/>
        <v>0</v>
      </c>
      <c r="AE33" s="25" t="str">
        <f t="shared" si="4"/>
        <v/>
      </c>
      <c r="AF33" s="1"/>
      <c r="AG33" s="1"/>
    </row>
    <row r="34" spans="1:33" ht="19.5" customHeight="1">
      <c r="A34" s="37">
        <v>23</v>
      </c>
      <c r="B34" s="46"/>
      <c r="C34" s="106"/>
      <c r="D34" s="41"/>
      <c r="E34" s="41"/>
      <c r="F34" s="41"/>
      <c r="G34" s="43"/>
      <c r="H34" s="106"/>
      <c r="I34" s="41"/>
      <c r="J34" s="41"/>
      <c r="K34" s="43"/>
      <c r="L34" s="40"/>
      <c r="M34" s="41"/>
      <c r="N34" s="41"/>
      <c r="O34" s="41"/>
      <c r="P34" s="41"/>
      <c r="Q34" s="106"/>
      <c r="R34" s="41"/>
      <c r="S34" s="41"/>
      <c r="T34" s="41"/>
      <c r="U34" s="42"/>
      <c r="V34" s="43"/>
      <c r="W34" s="106"/>
      <c r="X34" s="41"/>
      <c r="Y34" s="41"/>
      <c r="Z34" s="43"/>
      <c r="AA34" s="22">
        <f t="shared" si="0"/>
        <v>0</v>
      </c>
      <c r="AB34" s="44">
        <f t="shared" si="1"/>
        <v>0</v>
      </c>
      <c r="AC34" s="44">
        <f t="shared" si="2"/>
        <v>0</v>
      </c>
      <c r="AD34" s="44">
        <f t="shared" si="3"/>
        <v>0</v>
      </c>
      <c r="AE34" s="25" t="str">
        <f t="shared" si="4"/>
        <v/>
      </c>
      <c r="AF34" s="1"/>
      <c r="AG34" s="1"/>
    </row>
    <row r="35" spans="1:33" ht="19.5" customHeight="1">
      <c r="A35" s="26">
        <v>24</v>
      </c>
      <c r="B35" s="27"/>
      <c r="C35" s="103"/>
      <c r="D35" s="31"/>
      <c r="E35" s="31"/>
      <c r="F35" s="31"/>
      <c r="G35" s="33"/>
      <c r="H35" s="103"/>
      <c r="I35" s="31"/>
      <c r="J35" s="31"/>
      <c r="K35" s="33"/>
      <c r="L35" s="30"/>
      <c r="M35" s="31"/>
      <c r="N35" s="31"/>
      <c r="O35" s="31"/>
      <c r="P35" s="31"/>
      <c r="Q35" s="103"/>
      <c r="R35" s="31"/>
      <c r="S35" s="31"/>
      <c r="T35" s="31"/>
      <c r="U35" s="32"/>
      <c r="V35" s="33"/>
      <c r="W35" s="103"/>
      <c r="X35" s="31"/>
      <c r="Y35" s="31"/>
      <c r="Z35" s="33"/>
      <c r="AA35" s="34">
        <f t="shared" si="0"/>
        <v>0</v>
      </c>
      <c r="AB35" s="35">
        <f t="shared" si="1"/>
        <v>0</v>
      </c>
      <c r="AC35" s="35">
        <f t="shared" si="2"/>
        <v>0</v>
      </c>
      <c r="AD35" s="35">
        <f t="shared" si="3"/>
        <v>0</v>
      </c>
      <c r="AE35" s="25" t="str">
        <f t="shared" si="4"/>
        <v/>
      </c>
      <c r="AF35" s="1"/>
      <c r="AG35" s="1"/>
    </row>
    <row r="36" spans="1:33" ht="19.5" customHeight="1">
      <c r="A36" s="37">
        <v>25</v>
      </c>
      <c r="B36" s="46"/>
      <c r="C36" s="106"/>
      <c r="D36" s="41"/>
      <c r="E36" s="41"/>
      <c r="F36" s="41"/>
      <c r="G36" s="43"/>
      <c r="H36" s="106"/>
      <c r="I36" s="41"/>
      <c r="J36" s="41"/>
      <c r="K36" s="43"/>
      <c r="L36" s="40"/>
      <c r="M36" s="41"/>
      <c r="N36" s="41"/>
      <c r="O36" s="41"/>
      <c r="P36" s="41"/>
      <c r="Q36" s="106"/>
      <c r="R36" s="41"/>
      <c r="S36" s="41"/>
      <c r="T36" s="41"/>
      <c r="U36" s="42"/>
      <c r="V36" s="43"/>
      <c r="W36" s="106"/>
      <c r="X36" s="41"/>
      <c r="Y36" s="41"/>
      <c r="Z36" s="43"/>
      <c r="AA36" s="22">
        <f t="shared" si="0"/>
        <v>0</v>
      </c>
      <c r="AB36" s="44">
        <f t="shared" si="1"/>
        <v>0</v>
      </c>
      <c r="AC36" s="44">
        <f t="shared" si="2"/>
        <v>0</v>
      </c>
      <c r="AD36" s="44">
        <f t="shared" si="3"/>
        <v>0</v>
      </c>
      <c r="AE36" s="25" t="str">
        <f t="shared" si="4"/>
        <v/>
      </c>
      <c r="AF36" s="1"/>
      <c r="AG36" s="1"/>
    </row>
    <row r="37" spans="1:33" ht="19.5" customHeight="1">
      <c r="A37" s="26">
        <v>26</v>
      </c>
      <c r="B37" s="27"/>
      <c r="C37" s="103"/>
      <c r="D37" s="31"/>
      <c r="E37" s="31"/>
      <c r="F37" s="31"/>
      <c r="G37" s="33"/>
      <c r="H37" s="103"/>
      <c r="I37" s="31"/>
      <c r="J37" s="31"/>
      <c r="K37" s="33"/>
      <c r="L37" s="30"/>
      <c r="M37" s="31"/>
      <c r="N37" s="31"/>
      <c r="O37" s="31"/>
      <c r="P37" s="31"/>
      <c r="Q37" s="103"/>
      <c r="R37" s="31"/>
      <c r="S37" s="31"/>
      <c r="T37" s="31"/>
      <c r="U37" s="32"/>
      <c r="V37" s="33"/>
      <c r="W37" s="103"/>
      <c r="X37" s="31"/>
      <c r="Y37" s="31"/>
      <c r="Z37" s="33"/>
      <c r="AA37" s="34">
        <f t="shared" si="0"/>
        <v>0</v>
      </c>
      <c r="AB37" s="35">
        <f t="shared" si="1"/>
        <v>0</v>
      </c>
      <c r="AC37" s="35">
        <f t="shared" si="2"/>
        <v>0</v>
      </c>
      <c r="AD37" s="35">
        <f t="shared" si="3"/>
        <v>0</v>
      </c>
      <c r="AE37" s="25" t="str">
        <f t="shared" si="4"/>
        <v/>
      </c>
      <c r="AF37" s="1"/>
      <c r="AG37" s="1"/>
    </row>
    <row r="38" spans="1:33" ht="19.5" customHeight="1">
      <c r="A38" s="37">
        <v>27</v>
      </c>
      <c r="B38" s="46"/>
      <c r="C38" s="106"/>
      <c r="D38" s="41"/>
      <c r="E38" s="41"/>
      <c r="F38" s="41"/>
      <c r="G38" s="43"/>
      <c r="H38" s="106"/>
      <c r="I38" s="41"/>
      <c r="J38" s="41"/>
      <c r="K38" s="43"/>
      <c r="L38" s="40"/>
      <c r="M38" s="41"/>
      <c r="N38" s="41"/>
      <c r="O38" s="41"/>
      <c r="P38" s="41"/>
      <c r="Q38" s="106"/>
      <c r="R38" s="41"/>
      <c r="S38" s="41"/>
      <c r="T38" s="41"/>
      <c r="U38" s="42"/>
      <c r="V38" s="43"/>
      <c r="W38" s="106"/>
      <c r="X38" s="41"/>
      <c r="Y38" s="41"/>
      <c r="Z38" s="43"/>
      <c r="AA38" s="22">
        <f t="shared" si="0"/>
        <v>0</v>
      </c>
      <c r="AB38" s="44">
        <f t="shared" si="1"/>
        <v>0</v>
      </c>
      <c r="AC38" s="44">
        <f t="shared" si="2"/>
        <v>0</v>
      </c>
      <c r="AD38" s="44">
        <f t="shared" si="3"/>
        <v>0</v>
      </c>
      <c r="AE38" s="25" t="str">
        <f t="shared" si="4"/>
        <v/>
      </c>
      <c r="AF38" s="1"/>
      <c r="AG38" s="1"/>
    </row>
    <row r="39" spans="1:33" ht="19.5" customHeight="1">
      <c r="A39" s="26">
        <v>28</v>
      </c>
      <c r="B39" s="27"/>
      <c r="C39" s="103"/>
      <c r="D39" s="31"/>
      <c r="E39" s="31"/>
      <c r="F39" s="31"/>
      <c r="G39" s="33"/>
      <c r="H39" s="103"/>
      <c r="I39" s="31"/>
      <c r="J39" s="31"/>
      <c r="K39" s="33"/>
      <c r="L39" s="30"/>
      <c r="M39" s="31"/>
      <c r="N39" s="31"/>
      <c r="O39" s="31"/>
      <c r="P39" s="31"/>
      <c r="Q39" s="103"/>
      <c r="R39" s="31"/>
      <c r="S39" s="31"/>
      <c r="T39" s="31"/>
      <c r="U39" s="32"/>
      <c r="V39" s="33"/>
      <c r="W39" s="103"/>
      <c r="X39" s="31"/>
      <c r="Y39" s="31"/>
      <c r="Z39" s="33"/>
      <c r="AA39" s="34">
        <f t="shared" si="0"/>
        <v>0</v>
      </c>
      <c r="AB39" s="35">
        <f t="shared" si="1"/>
        <v>0</v>
      </c>
      <c r="AC39" s="35">
        <f t="shared" si="2"/>
        <v>0</v>
      </c>
      <c r="AD39" s="35">
        <f t="shared" si="3"/>
        <v>0</v>
      </c>
      <c r="AE39" s="25" t="str">
        <f t="shared" si="4"/>
        <v/>
      </c>
      <c r="AF39" s="1"/>
      <c r="AG39" s="1"/>
    </row>
    <row r="40" spans="1:33" ht="19.5" customHeight="1">
      <c r="A40" s="37">
        <v>29</v>
      </c>
      <c r="B40" s="46"/>
      <c r="C40" s="106"/>
      <c r="D40" s="41"/>
      <c r="E40" s="41"/>
      <c r="F40" s="41"/>
      <c r="G40" s="43"/>
      <c r="H40" s="106"/>
      <c r="I40" s="41"/>
      <c r="J40" s="41"/>
      <c r="K40" s="43"/>
      <c r="L40" s="40"/>
      <c r="M40" s="41"/>
      <c r="N40" s="41"/>
      <c r="O40" s="41"/>
      <c r="P40" s="41"/>
      <c r="Q40" s="106"/>
      <c r="R40" s="41"/>
      <c r="S40" s="41"/>
      <c r="T40" s="41"/>
      <c r="U40" s="42"/>
      <c r="V40" s="43"/>
      <c r="W40" s="106"/>
      <c r="X40" s="41"/>
      <c r="Y40" s="41"/>
      <c r="Z40" s="43"/>
      <c r="AA40" s="22">
        <f t="shared" si="0"/>
        <v>0</v>
      </c>
      <c r="AB40" s="44">
        <f t="shared" si="1"/>
        <v>0</v>
      </c>
      <c r="AC40" s="44">
        <f t="shared" si="2"/>
        <v>0</v>
      </c>
      <c r="AD40" s="44">
        <f t="shared" si="3"/>
        <v>0</v>
      </c>
      <c r="AE40" s="25" t="str">
        <f t="shared" si="4"/>
        <v/>
      </c>
      <c r="AF40" s="1"/>
      <c r="AG40" s="1"/>
    </row>
    <row r="41" spans="1:33" ht="19.5" customHeight="1">
      <c r="A41" s="26">
        <v>30</v>
      </c>
      <c r="B41" s="27"/>
      <c r="C41" s="103"/>
      <c r="D41" s="31"/>
      <c r="E41" s="31"/>
      <c r="F41" s="31"/>
      <c r="G41" s="33"/>
      <c r="H41" s="103"/>
      <c r="I41" s="31"/>
      <c r="J41" s="31"/>
      <c r="K41" s="33"/>
      <c r="L41" s="30"/>
      <c r="M41" s="31"/>
      <c r="N41" s="31"/>
      <c r="O41" s="31"/>
      <c r="P41" s="31"/>
      <c r="Q41" s="103"/>
      <c r="R41" s="31"/>
      <c r="S41" s="31"/>
      <c r="T41" s="31"/>
      <c r="U41" s="32"/>
      <c r="V41" s="33"/>
      <c r="W41" s="103"/>
      <c r="X41" s="31"/>
      <c r="Y41" s="31"/>
      <c r="Z41" s="33"/>
      <c r="AA41" s="34">
        <f t="shared" si="0"/>
        <v>0</v>
      </c>
      <c r="AB41" s="35">
        <f t="shared" si="1"/>
        <v>0</v>
      </c>
      <c r="AC41" s="35">
        <f t="shared" si="2"/>
        <v>0</v>
      </c>
      <c r="AD41" s="35">
        <f t="shared" si="3"/>
        <v>0</v>
      </c>
      <c r="AE41" s="25" t="str">
        <f t="shared" si="4"/>
        <v/>
      </c>
      <c r="AF41" s="1"/>
      <c r="AG41" s="1"/>
    </row>
    <row r="42" spans="1:33" ht="19.5" customHeight="1">
      <c r="A42" s="37">
        <v>31</v>
      </c>
      <c r="B42" s="46"/>
      <c r="C42" s="106"/>
      <c r="D42" s="41"/>
      <c r="E42" s="41"/>
      <c r="F42" s="41"/>
      <c r="G42" s="43"/>
      <c r="H42" s="106"/>
      <c r="I42" s="41"/>
      <c r="J42" s="41"/>
      <c r="K42" s="43"/>
      <c r="L42" s="40"/>
      <c r="M42" s="41"/>
      <c r="N42" s="41"/>
      <c r="O42" s="41"/>
      <c r="P42" s="41"/>
      <c r="Q42" s="106"/>
      <c r="R42" s="41"/>
      <c r="S42" s="41"/>
      <c r="T42" s="41"/>
      <c r="U42" s="42"/>
      <c r="V42" s="43"/>
      <c r="W42" s="106"/>
      <c r="X42" s="41"/>
      <c r="Y42" s="41"/>
      <c r="Z42" s="43"/>
      <c r="AA42" s="22">
        <f t="shared" si="0"/>
        <v>0</v>
      </c>
      <c r="AB42" s="44">
        <f t="shared" si="1"/>
        <v>0</v>
      </c>
      <c r="AC42" s="44">
        <f t="shared" si="2"/>
        <v>0</v>
      </c>
      <c r="AD42" s="44">
        <f t="shared" si="3"/>
        <v>0</v>
      </c>
      <c r="AE42" s="25" t="str">
        <f t="shared" si="4"/>
        <v/>
      </c>
      <c r="AF42" s="1"/>
      <c r="AG42" s="1"/>
    </row>
    <row r="43" spans="1:33" ht="19.5" customHeight="1">
      <c r="A43" s="26">
        <v>32</v>
      </c>
      <c r="B43" s="27"/>
      <c r="C43" s="103"/>
      <c r="D43" s="31"/>
      <c r="E43" s="31"/>
      <c r="F43" s="31"/>
      <c r="G43" s="33"/>
      <c r="H43" s="103"/>
      <c r="I43" s="31"/>
      <c r="J43" s="31"/>
      <c r="K43" s="33"/>
      <c r="L43" s="30"/>
      <c r="M43" s="31"/>
      <c r="N43" s="31"/>
      <c r="O43" s="31"/>
      <c r="P43" s="31"/>
      <c r="Q43" s="103"/>
      <c r="R43" s="31"/>
      <c r="S43" s="31"/>
      <c r="T43" s="31"/>
      <c r="U43" s="32"/>
      <c r="V43" s="33"/>
      <c r="W43" s="103"/>
      <c r="X43" s="31"/>
      <c r="Y43" s="31"/>
      <c r="Z43" s="33"/>
      <c r="AA43" s="34">
        <f t="shared" si="0"/>
        <v>0</v>
      </c>
      <c r="AB43" s="35">
        <f t="shared" si="1"/>
        <v>0</v>
      </c>
      <c r="AC43" s="35">
        <f t="shared" si="2"/>
        <v>0</v>
      </c>
      <c r="AD43" s="35">
        <f t="shared" si="3"/>
        <v>0</v>
      </c>
      <c r="AE43" s="25" t="str">
        <f t="shared" si="4"/>
        <v/>
      </c>
      <c r="AF43" s="1"/>
      <c r="AG43" s="1"/>
    </row>
    <row r="44" spans="1:33" ht="19.5" customHeight="1">
      <c r="A44" s="37">
        <v>33</v>
      </c>
      <c r="B44" s="46"/>
      <c r="C44" s="106"/>
      <c r="D44" s="41"/>
      <c r="E44" s="41"/>
      <c r="F44" s="41"/>
      <c r="G44" s="43"/>
      <c r="H44" s="106"/>
      <c r="I44" s="41"/>
      <c r="J44" s="41"/>
      <c r="K44" s="43"/>
      <c r="L44" s="40"/>
      <c r="M44" s="41"/>
      <c r="N44" s="41"/>
      <c r="O44" s="41"/>
      <c r="P44" s="41"/>
      <c r="Q44" s="106"/>
      <c r="R44" s="41"/>
      <c r="S44" s="41"/>
      <c r="T44" s="41"/>
      <c r="U44" s="42"/>
      <c r="V44" s="43"/>
      <c r="W44" s="106"/>
      <c r="X44" s="41"/>
      <c r="Y44" s="41"/>
      <c r="Z44" s="43"/>
      <c r="AA44" s="22">
        <f t="shared" si="0"/>
        <v>0</v>
      </c>
      <c r="AB44" s="44">
        <f t="shared" si="1"/>
        <v>0</v>
      </c>
      <c r="AC44" s="44">
        <f t="shared" si="2"/>
        <v>0</v>
      </c>
      <c r="AD44" s="44">
        <f t="shared" si="3"/>
        <v>0</v>
      </c>
      <c r="AE44" s="25" t="str">
        <f t="shared" si="4"/>
        <v/>
      </c>
      <c r="AF44" s="1"/>
      <c r="AG44" s="1"/>
    </row>
    <row r="45" spans="1:33" ht="19.5" customHeight="1">
      <c r="A45" s="26">
        <v>34</v>
      </c>
      <c r="B45" s="27"/>
      <c r="C45" s="103"/>
      <c r="D45" s="31"/>
      <c r="E45" s="31"/>
      <c r="F45" s="31"/>
      <c r="G45" s="33"/>
      <c r="H45" s="103"/>
      <c r="I45" s="31"/>
      <c r="J45" s="31"/>
      <c r="K45" s="33"/>
      <c r="L45" s="30"/>
      <c r="M45" s="31"/>
      <c r="N45" s="31"/>
      <c r="O45" s="31"/>
      <c r="P45" s="31"/>
      <c r="Q45" s="103"/>
      <c r="R45" s="31"/>
      <c r="S45" s="31"/>
      <c r="T45" s="31"/>
      <c r="U45" s="32"/>
      <c r="V45" s="33"/>
      <c r="W45" s="103"/>
      <c r="X45" s="31"/>
      <c r="Y45" s="31"/>
      <c r="Z45" s="33"/>
      <c r="AA45" s="34">
        <f t="shared" si="0"/>
        <v>0</v>
      </c>
      <c r="AB45" s="35">
        <f t="shared" si="1"/>
        <v>0</v>
      </c>
      <c r="AC45" s="35">
        <f t="shared" si="2"/>
        <v>0</v>
      </c>
      <c r="AD45" s="35">
        <f t="shared" si="3"/>
        <v>0</v>
      </c>
      <c r="AE45" s="25" t="str">
        <f t="shared" si="4"/>
        <v/>
      </c>
      <c r="AF45" s="1"/>
      <c r="AG45" s="1"/>
    </row>
    <row r="46" spans="1:33" ht="19.5" customHeight="1">
      <c r="A46" s="37">
        <v>35</v>
      </c>
      <c r="B46" s="46"/>
      <c r="C46" s="106"/>
      <c r="D46" s="41"/>
      <c r="E46" s="41"/>
      <c r="F46" s="41"/>
      <c r="G46" s="43"/>
      <c r="H46" s="106"/>
      <c r="I46" s="41"/>
      <c r="J46" s="41"/>
      <c r="K46" s="43"/>
      <c r="L46" s="40"/>
      <c r="M46" s="41"/>
      <c r="N46" s="41"/>
      <c r="O46" s="41"/>
      <c r="P46" s="41"/>
      <c r="Q46" s="106"/>
      <c r="R46" s="41"/>
      <c r="S46" s="41"/>
      <c r="T46" s="41"/>
      <c r="U46" s="42"/>
      <c r="V46" s="43"/>
      <c r="W46" s="106"/>
      <c r="X46" s="41"/>
      <c r="Y46" s="41"/>
      <c r="Z46" s="43"/>
      <c r="AA46" s="22">
        <f t="shared" si="0"/>
        <v>0</v>
      </c>
      <c r="AB46" s="44">
        <f t="shared" si="1"/>
        <v>0</v>
      </c>
      <c r="AC46" s="44">
        <f t="shared" si="2"/>
        <v>0</v>
      </c>
      <c r="AD46" s="44">
        <f t="shared" si="3"/>
        <v>0</v>
      </c>
      <c r="AE46" s="25" t="str">
        <f t="shared" si="4"/>
        <v/>
      </c>
      <c r="AF46" s="1"/>
      <c r="AG46" s="1"/>
    </row>
    <row r="47" spans="1:33" ht="19.5" customHeight="1">
      <c r="A47" s="26">
        <v>36</v>
      </c>
      <c r="B47" s="27"/>
      <c r="C47" s="103"/>
      <c r="D47" s="31"/>
      <c r="E47" s="31"/>
      <c r="F47" s="31"/>
      <c r="G47" s="33"/>
      <c r="H47" s="103"/>
      <c r="I47" s="31"/>
      <c r="J47" s="31"/>
      <c r="K47" s="33"/>
      <c r="L47" s="30"/>
      <c r="M47" s="31"/>
      <c r="N47" s="31"/>
      <c r="O47" s="31"/>
      <c r="P47" s="31"/>
      <c r="Q47" s="103"/>
      <c r="R47" s="31"/>
      <c r="S47" s="31"/>
      <c r="T47" s="31"/>
      <c r="U47" s="32"/>
      <c r="V47" s="33"/>
      <c r="W47" s="103"/>
      <c r="X47" s="31"/>
      <c r="Y47" s="31"/>
      <c r="Z47" s="33"/>
      <c r="AA47" s="34">
        <f t="shared" si="0"/>
        <v>0</v>
      </c>
      <c r="AB47" s="35">
        <f t="shared" si="1"/>
        <v>0</v>
      </c>
      <c r="AC47" s="35">
        <f t="shared" si="2"/>
        <v>0</v>
      </c>
      <c r="AD47" s="35">
        <f t="shared" si="3"/>
        <v>0</v>
      </c>
      <c r="AE47" s="25" t="str">
        <f t="shared" si="4"/>
        <v/>
      </c>
      <c r="AF47" s="1"/>
      <c r="AG47" s="1"/>
    </row>
    <row r="48" spans="1:33" ht="19.5" customHeight="1">
      <c r="A48" s="37">
        <v>37</v>
      </c>
      <c r="B48" s="46"/>
      <c r="C48" s="106"/>
      <c r="D48" s="41"/>
      <c r="E48" s="41"/>
      <c r="F48" s="41"/>
      <c r="G48" s="43"/>
      <c r="H48" s="106"/>
      <c r="I48" s="41"/>
      <c r="J48" s="41"/>
      <c r="K48" s="43"/>
      <c r="L48" s="40"/>
      <c r="M48" s="41"/>
      <c r="N48" s="41"/>
      <c r="O48" s="41"/>
      <c r="P48" s="41"/>
      <c r="Q48" s="106"/>
      <c r="R48" s="41"/>
      <c r="S48" s="41"/>
      <c r="T48" s="41"/>
      <c r="U48" s="42"/>
      <c r="V48" s="43"/>
      <c r="W48" s="106"/>
      <c r="X48" s="41"/>
      <c r="Y48" s="41"/>
      <c r="Z48" s="43"/>
      <c r="AA48" s="22">
        <f t="shared" si="0"/>
        <v>0</v>
      </c>
      <c r="AB48" s="44">
        <f t="shared" si="1"/>
        <v>0</v>
      </c>
      <c r="AC48" s="44">
        <f t="shared" si="2"/>
        <v>0</v>
      </c>
      <c r="AD48" s="44">
        <f t="shared" si="3"/>
        <v>0</v>
      </c>
      <c r="AE48" s="25" t="str">
        <f t="shared" si="4"/>
        <v/>
      </c>
      <c r="AF48" s="1"/>
      <c r="AG48" s="1"/>
    </row>
    <row r="49" spans="1:33" ht="19.5" customHeight="1">
      <c r="A49" s="26">
        <v>38</v>
      </c>
      <c r="B49" s="27"/>
      <c r="C49" s="103"/>
      <c r="D49" s="31"/>
      <c r="E49" s="31"/>
      <c r="F49" s="31"/>
      <c r="G49" s="33"/>
      <c r="H49" s="103"/>
      <c r="I49" s="31"/>
      <c r="J49" s="31"/>
      <c r="K49" s="33"/>
      <c r="L49" s="30"/>
      <c r="M49" s="31"/>
      <c r="N49" s="31"/>
      <c r="O49" s="31"/>
      <c r="P49" s="31"/>
      <c r="Q49" s="103"/>
      <c r="R49" s="31"/>
      <c r="S49" s="31"/>
      <c r="T49" s="31"/>
      <c r="U49" s="32"/>
      <c r="V49" s="33"/>
      <c r="W49" s="103"/>
      <c r="X49" s="31"/>
      <c r="Y49" s="31"/>
      <c r="Z49" s="33"/>
      <c r="AA49" s="34">
        <f t="shared" si="0"/>
        <v>0</v>
      </c>
      <c r="AB49" s="35">
        <f t="shared" si="1"/>
        <v>0</v>
      </c>
      <c r="AC49" s="35">
        <f t="shared" si="2"/>
        <v>0</v>
      </c>
      <c r="AD49" s="35">
        <f t="shared" si="3"/>
        <v>0</v>
      </c>
      <c r="AE49" s="25" t="str">
        <f t="shared" si="4"/>
        <v/>
      </c>
      <c r="AF49" s="1"/>
      <c r="AG49" s="1"/>
    </row>
    <row r="50" spans="1:33" ht="19.5" customHeight="1">
      <c r="A50" s="37">
        <v>39</v>
      </c>
      <c r="B50" s="46"/>
      <c r="C50" s="106"/>
      <c r="D50" s="41"/>
      <c r="E50" s="41"/>
      <c r="F50" s="41"/>
      <c r="G50" s="43"/>
      <c r="H50" s="106"/>
      <c r="I50" s="41"/>
      <c r="J50" s="41"/>
      <c r="K50" s="43"/>
      <c r="L50" s="40"/>
      <c r="M50" s="41"/>
      <c r="N50" s="41"/>
      <c r="O50" s="41"/>
      <c r="P50" s="41"/>
      <c r="Q50" s="106"/>
      <c r="R50" s="41"/>
      <c r="S50" s="41"/>
      <c r="T50" s="41"/>
      <c r="U50" s="42"/>
      <c r="V50" s="43"/>
      <c r="W50" s="106"/>
      <c r="X50" s="41"/>
      <c r="Y50" s="41"/>
      <c r="Z50" s="43"/>
      <c r="AA50" s="22">
        <f t="shared" si="0"/>
        <v>0</v>
      </c>
      <c r="AB50" s="44">
        <f t="shared" si="1"/>
        <v>0</v>
      </c>
      <c r="AC50" s="44">
        <f t="shared" si="2"/>
        <v>0</v>
      </c>
      <c r="AD50" s="44">
        <f t="shared" si="3"/>
        <v>0</v>
      </c>
      <c r="AE50" s="25" t="str">
        <f t="shared" si="4"/>
        <v/>
      </c>
      <c r="AF50" s="1"/>
      <c r="AG50" s="1"/>
    </row>
    <row r="51" spans="1:33" ht="19.5" customHeight="1">
      <c r="A51" s="47">
        <v>40</v>
      </c>
      <c r="B51" s="48"/>
      <c r="C51" s="110"/>
      <c r="D51" s="51"/>
      <c r="E51" s="51"/>
      <c r="F51" s="51"/>
      <c r="G51" s="53"/>
      <c r="H51" s="110"/>
      <c r="I51" s="51"/>
      <c r="J51" s="51"/>
      <c r="K51" s="53"/>
      <c r="L51" s="50"/>
      <c r="M51" s="51"/>
      <c r="N51" s="51"/>
      <c r="O51" s="51"/>
      <c r="P51" s="51"/>
      <c r="Q51" s="110"/>
      <c r="R51" s="51"/>
      <c r="S51" s="51"/>
      <c r="T51" s="51"/>
      <c r="U51" s="52"/>
      <c r="V51" s="53"/>
      <c r="W51" s="110"/>
      <c r="X51" s="51"/>
      <c r="Y51" s="51"/>
      <c r="Z51" s="53"/>
      <c r="AA51" s="54">
        <f t="shared" si="0"/>
        <v>0</v>
      </c>
      <c r="AB51" s="55">
        <f t="shared" si="1"/>
        <v>0</v>
      </c>
      <c r="AC51" s="55">
        <f t="shared" si="2"/>
        <v>0</v>
      </c>
      <c r="AD51" s="55">
        <f t="shared" si="3"/>
        <v>0</v>
      </c>
      <c r="AE51" s="138" t="str">
        <f t="shared" si="4"/>
        <v/>
      </c>
      <c r="AF51" s="1"/>
      <c r="AG51" s="1"/>
    </row>
    <row r="52" spans="1:33" ht="27" customHeight="1">
      <c r="A52" s="171" t="s">
        <v>53</v>
      </c>
      <c r="B52" s="172"/>
      <c r="C52" s="111" t="s">
        <v>25</v>
      </c>
      <c r="D52" s="111" t="s">
        <v>26</v>
      </c>
      <c r="E52" s="111" t="s">
        <v>27</v>
      </c>
      <c r="F52" s="111" t="s">
        <v>28</v>
      </c>
      <c r="G52" s="111" t="s">
        <v>29</v>
      </c>
      <c r="H52" s="111" t="s">
        <v>30</v>
      </c>
      <c r="I52" s="111" t="s">
        <v>31</v>
      </c>
      <c r="J52" s="111" t="s">
        <v>84</v>
      </c>
      <c r="K52" s="111" t="s">
        <v>85</v>
      </c>
      <c r="L52" s="111" t="s">
        <v>86</v>
      </c>
      <c r="M52" s="111" t="s">
        <v>87</v>
      </c>
      <c r="N52" s="111" t="s">
        <v>88</v>
      </c>
      <c r="O52" s="111" t="s">
        <v>89</v>
      </c>
      <c r="P52" s="111" t="s">
        <v>90</v>
      </c>
      <c r="Q52" s="111" t="s">
        <v>91</v>
      </c>
      <c r="R52" s="111" t="s">
        <v>92</v>
      </c>
      <c r="S52" s="111" t="s">
        <v>93</v>
      </c>
      <c r="T52" s="111" t="s">
        <v>94</v>
      </c>
      <c r="U52" s="111" t="s">
        <v>95</v>
      </c>
      <c r="V52" s="111" t="s">
        <v>96</v>
      </c>
      <c r="W52" s="111" t="s">
        <v>97</v>
      </c>
      <c r="X52" s="111" t="s">
        <v>98</v>
      </c>
      <c r="Y52" s="111" t="s">
        <v>99</v>
      </c>
      <c r="Z52" s="111" t="s">
        <v>100</v>
      </c>
      <c r="AA52" s="1"/>
      <c r="AB52" s="1"/>
      <c r="AC52" s="260" t="s">
        <v>54</v>
      </c>
      <c r="AD52" s="198"/>
      <c r="AE52" s="261"/>
      <c r="AF52" s="1"/>
      <c r="AG52" s="1"/>
    </row>
    <row r="53" spans="1:33" ht="27" customHeight="1">
      <c r="A53" s="239" t="s">
        <v>20</v>
      </c>
      <c r="B53" s="235"/>
      <c r="C53" s="112" t="e">
        <f t="shared" ref="C53:Z53" si="5">COUNTIF(C12:C51,3)/COUNTA(C12:C51)*1</f>
        <v>#DIV/0!</v>
      </c>
      <c r="D53" s="112" t="e">
        <f t="shared" si="5"/>
        <v>#DIV/0!</v>
      </c>
      <c r="E53" s="112" t="e">
        <f t="shared" si="5"/>
        <v>#DIV/0!</v>
      </c>
      <c r="F53" s="112" t="e">
        <f t="shared" si="5"/>
        <v>#DIV/0!</v>
      </c>
      <c r="G53" s="112" t="e">
        <f t="shared" si="5"/>
        <v>#DIV/0!</v>
      </c>
      <c r="H53" s="112" t="e">
        <f t="shared" si="5"/>
        <v>#DIV/0!</v>
      </c>
      <c r="I53" s="112" t="e">
        <f t="shared" si="5"/>
        <v>#DIV/0!</v>
      </c>
      <c r="J53" s="112" t="e">
        <f t="shared" si="5"/>
        <v>#DIV/0!</v>
      </c>
      <c r="K53" s="112" t="e">
        <f t="shared" si="5"/>
        <v>#DIV/0!</v>
      </c>
      <c r="L53" s="112" t="e">
        <f t="shared" si="5"/>
        <v>#DIV/0!</v>
      </c>
      <c r="M53" s="112" t="e">
        <f t="shared" si="5"/>
        <v>#DIV/0!</v>
      </c>
      <c r="N53" s="112" t="e">
        <f t="shared" si="5"/>
        <v>#DIV/0!</v>
      </c>
      <c r="O53" s="112" t="e">
        <f t="shared" si="5"/>
        <v>#DIV/0!</v>
      </c>
      <c r="P53" s="112" t="e">
        <f t="shared" si="5"/>
        <v>#DIV/0!</v>
      </c>
      <c r="Q53" s="112" t="e">
        <f t="shared" si="5"/>
        <v>#DIV/0!</v>
      </c>
      <c r="R53" s="112" t="e">
        <f t="shared" si="5"/>
        <v>#DIV/0!</v>
      </c>
      <c r="S53" s="112" t="e">
        <f t="shared" si="5"/>
        <v>#DIV/0!</v>
      </c>
      <c r="T53" s="112" t="e">
        <f t="shared" si="5"/>
        <v>#DIV/0!</v>
      </c>
      <c r="U53" s="112" t="e">
        <f t="shared" si="5"/>
        <v>#DIV/0!</v>
      </c>
      <c r="V53" s="112" t="e">
        <f t="shared" si="5"/>
        <v>#DIV/0!</v>
      </c>
      <c r="W53" s="112" t="e">
        <f t="shared" si="5"/>
        <v>#DIV/0!</v>
      </c>
      <c r="X53" s="112" t="e">
        <f t="shared" si="5"/>
        <v>#DIV/0!</v>
      </c>
      <c r="Y53" s="112" t="e">
        <f t="shared" si="5"/>
        <v>#DIV/0!</v>
      </c>
      <c r="Z53" s="112" t="e">
        <f t="shared" si="5"/>
        <v>#DIV/0!</v>
      </c>
      <c r="AA53" s="1"/>
      <c r="AB53" s="1"/>
      <c r="AC53" s="212" t="s">
        <v>55</v>
      </c>
      <c r="AD53" s="213"/>
      <c r="AE53" s="217" t="s">
        <v>4</v>
      </c>
      <c r="AF53" s="221"/>
      <c r="AG53" s="61"/>
    </row>
    <row r="54" spans="1:33" ht="27" customHeight="1">
      <c r="A54" s="240" t="s">
        <v>21</v>
      </c>
      <c r="B54" s="235"/>
      <c r="C54" s="113">
        <f t="shared" ref="C54:Z54" si="6">COUNTIF(C13:C52,2)/COUNTA(C13:C52)*1</f>
        <v>0</v>
      </c>
      <c r="D54" s="113">
        <f t="shared" si="6"/>
        <v>0</v>
      </c>
      <c r="E54" s="113">
        <f t="shared" si="6"/>
        <v>0</v>
      </c>
      <c r="F54" s="113">
        <f t="shared" si="6"/>
        <v>0</v>
      </c>
      <c r="G54" s="113">
        <f t="shared" si="6"/>
        <v>0</v>
      </c>
      <c r="H54" s="113">
        <f t="shared" si="6"/>
        <v>0</v>
      </c>
      <c r="I54" s="113">
        <f t="shared" si="6"/>
        <v>0</v>
      </c>
      <c r="J54" s="113">
        <f t="shared" si="6"/>
        <v>0</v>
      </c>
      <c r="K54" s="113">
        <f t="shared" si="6"/>
        <v>0</v>
      </c>
      <c r="L54" s="113">
        <f t="shared" si="6"/>
        <v>0</v>
      </c>
      <c r="M54" s="113">
        <f t="shared" si="6"/>
        <v>0</v>
      </c>
      <c r="N54" s="113">
        <f t="shared" si="6"/>
        <v>0</v>
      </c>
      <c r="O54" s="113">
        <f t="shared" si="6"/>
        <v>0</v>
      </c>
      <c r="P54" s="113">
        <f t="shared" si="6"/>
        <v>0</v>
      </c>
      <c r="Q54" s="113">
        <f t="shared" si="6"/>
        <v>0</v>
      </c>
      <c r="R54" s="113">
        <f t="shared" si="6"/>
        <v>0</v>
      </c>
      <c r="S54" s="113">
        <f t="shared" si="6"/>
        <v>0</v>
      </c>
      <c r="T54" s="113">
        <f t="shared" si="6"/>
        <v>0</v>
      </c>
      <c r="U54" s="113">
        <f t="shared" si="6"/>
        <v>0</v>
      </c>
      <c r="V54" s="113">
        <f t="shared" si="6"/>
        <v>0</v>
      </c>
      <c r="W54" s="113">
        <f t="shared" si="6"/>
        <v>0</v>
      </c>
      <c r="X54" s="113">
        <f t="shared" si="6"/>
        <v>0</v>
      </c>
      <c r="Y54" s="113">
        <f t="shared" si="6"/>
        <v>0</v>
      </c>
      <c r="Z54" s="113">
        <f t="shared" si="6"/>
        <v>0</v>
      </c>
      <c r="AA54" s="1"/>
      <c r="AB54" s="1"/>
      <c r="AC54" s="214"/>
      <c r="AD54" s="190"/>
      <c r="AE54" s="218"/>
      <c r="AF54" s="189"/>
      <c r="AG54" s="61"/>
    </row>
    <row r="55" spans="1:33" ht="26.25" customHeight="1">
      <c r="A55" s="241" t="s">
        <v>22</v>
      </c>
      <c r="B55" s="235"/>
      <c r="C55" s="114" t="e">
        <f t="shared" ref="C55:Z55" si="7">COUNTIF(C12:C51,1)/COUNTA(C12:C51)*1</f>
        <v>#DIV/0!</v>
      </c>
      <c r="D55" s="114" t="e">
        <f t="shared" si="7"/>
        <v>#DIV/0!</v>
      </c>
      <c r="E55" s="114" t="e">
        <f t="shared" si="7"/>
        <v>#DIV/0!</v>
      </c>
      <c r="F55" s="114" t="e">
        <f t="shared" si="7"/>
        <v>#DIV/0!</v>
      </c>
      <c r="G55" s="114" t="e">
        <f t="shared" si="7"/>
        <v>#DIV/0!</v>
      </c>
      <c r="H55" s="114" t="e">
        <f t="shared" si="7"/>
        <v>#DIV/0!</v>
      </c>
      <c r="I55" s="114" t="e">
        <f t="shared" si="7"/>
        <v>#DIV/0!</v>
      </c>
      <c r="J55" s="114" t="e">
        <f t="shared" si="7"/>
        <v>#DIV/0!</v>
      </c>
      <c r="K55" s="114" t="e">
        <f t="shared" si="7"/>
        <v>#DIV/0!</v>
      </c>
      <c r="L55" s="114" t="e">
        <f t="shared" si="7"/>
        <v>#DIV/0!</v>
      </c>
      <c r="M55" s="114" t="e">
        <f t="shared" si="7"/>
        <v>#DIV/0!</v>
      </c>
      <c r="N55" s="114" t="e">
        <f t="shared" si="7"/>
        <v>#DIV/0!</v>
      </c>
      <c r="O55" s="114" t="e">
        <f t="shared" si="7"/>
        <v>#DIV/0!</v>
      </c>
      <c r="P55" s="114" t="e">
        <f t="shared" si="7"/>
        <v>#DIV/0!</v>
      </c>
      <c r="Q55" s="114" t="e">
        <f t="shared" si="7"/>
        <v>#DIV/0!</v>
      </c>
      <c r="R55" s="114" t="e">
        <f t="shared" si="7"/>
        <v>#DIV/0!</v>
      </c>
      <c r="S55" s="114" t="e">
        <f t="shared" si="7"/>
        <v>#DIV/0!</v>
      </c>
      <c r="T55" s="114" t="e">
        <f t="shared" si="7"/>
        <v>#DIV/0!</v>
      </c>
      <c r="U55" s="114" t="e">
        <f t="shared" si="7"/>
        <v>#DIV/0!</v>
      </c>
      <c r="V55" s="114" t="e">
        <f t="shared" si="7"/>
        <v>#DIV/0!</v>
      </c>
      <c r="W55" s="114" t="e">
        <f t="shared" si="7"/>
        <v>#DIV/0!</v>
      </c>
      <c r="X55" s="114" t="e">
        <f t="shared" si="7"/>
        <v>#DIV/0!</v>
      </c>
      <c r="Y55" s="114" t="e">
        <f t="shared" si="7"/>
        <v>#DIV/0!</v>
      </c>
      <c r="Z55" s="114" t="e">
        <f t="shared" si="7"/>
        <v>#DIV/0!</v>
      </c>
      <c r="AA55" s="1"/>
      <c r="AB55" s="1"/>
      <c r="AC55" s="215"/>
      <c r="AD55" s="216"/>
      <c r="AE55" s="219"/>
      <c r="AF55" s="189"/>
      <c r="AG55" s="61"/>
    </row>
    <row r="56" spans="1:33" ht="19.5" customHeight="1">
      <c r="A56" s="242" t="s">
        <v>23</v>
      </c>
      <c r="B56" s="235"/>
      <c r="C56" s="115" t="e">
        <f t="shared" ref="C56:Z56" si="8">COUNTIF(C12:C51,0)/COUNTA(C12:C51)*1</f>
        <v>#DIV/0!</v>
      </c>
      <c r="D56" s="115" t="e">
        <f t="shared" si="8"/>
        <v>#DIV/0!</v>
      </c>
      <c r="E56" s="115" t="e">
        <f t="shared" si="8"/>
        <v>#DIV/0!</v>
      </c>
      <c r="F56" s="115" t="e">
        <f t="shared" si="8"/>
        <v>#DIV/0!</v>
      </c>
      <c r="G56" s="115" t="e">
        <f t="shared" si="8"/>
        <v>#DIV/0!</v>
      </c>
      <c r="H56" s="115" t="e">
        <f t="shared" si="8"/>
        <v>#DIV/0!</v>
      </c>
      <c r="I56" s="115" t="e">
        <f t="shared" si="8"/>
        <v>#DIV/0!</v>
      </c>
      <c r="J56" s="115" t="e">
        <f t="shared" si="8"/>
        <v>#DIV/0!</v>
      </c>
      <c r="K56" s="115" t="e">
        <f t="shared" si="8"/>
        <v>#DIV/0!</v>
      </c>
      <c r="L56" s="115" t="e">
        <f t="shared" si="8"/>
        <v>#DIV/0!</v>
      </c>
      <c r="M56" s="115" t="e">
        <f t="shared" si="8"/>
        <v>#DIV/0!</v>
      </c>
      <c r="N56" s="115" t="e">
        <f t="shared" si="8"/>
        <v>#DIV/0!</v>
      </c>
      <c r="O56" s="115" t="e">
        <f t="shared" si="8"/>
        <v>#DIV/0!</v>
      </c>
      <c r="P56" s="115" t="e">
        <f t="shared" si="8"/>
        <v>#DIV/0!</v>
      </c>
      <c r="Q56" s="115" t="e">
        <f t="shared" si="8"/>
        <v>#DIV/0!</v>
      </c>
      <c r="R56" s="115" t="e">
        <f t="shared" si="8"/>
        <v>#DIV/0!</v>
      </c>
      <c r="S56" s="115" t="e">
        <f t="shared" si="8"/>
        <v>#DIV/0!</v>
      </c>
      <c r="T56" s="115" t="e">
        <f t="shared" si="8"/>
        <v>#DIV/0!</v>
      </c>
      <c r="U56" s="115" t="e">
        <f t="shared" si="8"/>
        <v>#DIV/0!</v>
      </c>
      <c r="V56" s="115" t="e">
        <f t="shared" si="8"/>
        <v>#DIV/0!</v>
      </c>
      <c r="W56" s="115" t="e">
        <f t="shared" si="8"/>
        <v>#DIV/0!</v>
      </c>
      <c r="X56" s="115" t="e">
        <f t="shared" si="8"/>
        <v>#DIV/0!</v>
      </c>
      <c r="Y56" s="115" t="e">
        <f t="shared" si="8"/>
        <v>#DIV/0!</v>
      </c>
      <c r="Z56" s="115" t="e">
        <f t="shared" si="8"/>
        <v>#DIV/0!</v>
      </c>
      <c r="AA56" s="1"/>
      <c r="AB56" s="1"/>
      <c r="AC56" s="222" t="s">
        <v>56</v>
      </c>
      <c r="AD56" s="223"/>
      <c r="AE56" s="65">
        <f>COUNTIFS(AE12:AE51,"Logrado")</f>
        <v>0</v>
      </c>
      <c r="AF56" s="1"/>
      <c r="AG56" s="1"/>
    </row>
    <row r="57" spans="1:33" ht="19.5" customHeight="1">
      <c r="A57" s="224" t="s">
        <v>57</v>
      </c>
      <c r="B57" s="225"/>
      <c r="C57" s="116" t="e">
        <f t="shared" ref="C57:Z57" si="9">SUM(C53:C56)</f>
        <v>#DIV/0!</v>
      </c>
      <c r="D57" s="116" t="e">
        <f t="shared" si="9"/>
        <v>#DIV/0!</v>
      </c>
      <c r="E57" s="116" t="e">
        <f t="shared" si="9"/>
        <v>#DIV/0!</v>
      </c>
      <c r="F57" s="116" t="e">
        <f t="shared" si="9"/>
        <v>#DIV/0!</v>
      </c>
      <c r="G57" s="116" t="e">
        <f t="shared" si="9"/>
        <v>#DIV/0!</v>
      </c>
      <c r="H57" s="116" t="e">
        <f t="shared" si="9"/>
        <v>#DIV/0!</v>
      </c>
      <c r="I57" s="116" t="e">
        <f t="shared" si="9"/>
        <v>#DIV/0!</v>
      </c>
      <c r="J57" s="116" t="e">
        <f t="shared" si="9"/>
        <v>#DIV/0!</v>
      </c>
      <c r="K57" s="116" t="e">
        <f t="shared" si="9"/>
        <v>#DIV/0!</v>
      </c>
      <c r="L57" s="116" t="e">
        <f t="shared" si="9"/>
        <v>#DIV/0!</v>
      </c>
      <c r="M57" s="116" t="e">
        <f t="shared" si="9"/>
        <v>#DIV/0!</v>
      </c>
      <c r="N57" s="116" t="e">
        <f t="shared" si="9"/>
        <v>#DIV/0!</v>
      </c>
      <c r="O57" s="116" t="e">
        <f t="shared" si="9"/>
        <v>#DIV/0!</v>
      </c>
      <c r="P57" s="116" t="e">
        <f t="shared" si="9"/>
        <v>#DIV/0!</v>
      </c>
      <c r="Q57" s="116" t="e">
        <f t="shared" si="9"/>
        <v>#DIV/0!</v>
      </c>
      <c r="R57" s="116" t="e">
        <f t="shared" si="9"/>
        <v>#DIV/0!</v>
      </c>
      <c r="S57" s="116" t="e">
        <f t="shared" si="9"/>
        <v>#DIV/0!</v>
      </c>
      <c r="T57" s="116" t="e">
        <f t="shared" si="9"/>
        <v>#DIV/0!</v>
      </c>
      <c r="U57" s="116" t="e">
        <f t="shared" si="9"/>
        <v>#DIV/0!</v>
      </c>
      <c r="V57" s="116" t="e">
        <f t="shared" si="9"/>
        <v>#DIV/0!</v>
      </c>
      <c r="W57" s="116" t="e">
        <f t="shared" si="9"/>
        <v>#DIV/0!</v>
      </c>
      <c r="X57" s="116" t="e">
        <f t="shared" si="9"/>
        <v>#DIV/0!</v>
      </c>
      <c r="Y57" s="116" t="e">
        <f t="shared" si="9"/>
        <v>#DIV/0!</v>
      </c>
      <c r="Z57" s="116" t="e">
        <f t="shared" si="9"/>
        <v>#DIV/0!</v>
      </c>
      <c r="AA57" s="1"/>
      <c r="AB57" s="1"/>
      <c r="AC57" s="234" t="s">
        <v>58</v>
      </c>
      <c r="AD57" s="235"/>
      <c r="AE57" s="67">
        <f>COUNTIFS(AE12:AE51,"Proceso")</f>
        <v>0</v>
      </c>
      <c r="AF57" s="1"/>
      <c r="AG57" s="1"/>
    </row>
    <row r="58" spans="1:33" ht="19.5" customHeight="1">
      <c r="A58" s="117"/>
      <c r="B58" s="117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"/>
      <c r="AB58" s="1"/>
      <c r="AC58" s="236" t="s">
        <v>59</v>
      </c>
      <c r="AD58" s="237"/>
      <c r="AE58" s="69">
        <f>COUNTIFS(AE11:AE50,"Inicio")</f>
        <v>0</v>
      </c>
      <c r="AF58" s="1"/>
      <c r="AG58" s="1"/>
    </row>
    <row r="59" spans="1:33" ht="19.5" customHeight="1">
      <c r="A59" s="68"/>
      <c r="B59" s="68"/>
      <c r="C59" s="119"/>
      <c r="D59" s="119"/>
      <c r="E59" s="119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254" t="s">
        <v>101</v>
      </c>
      <c r="AD59" s="237"/>
      <c r="AE59" s="69">
        <f>COUNTIFS(AE12:AE51,"Previo al Inicio")</f>
        <v>0</v>
      </c>
      <c r="AF59" s="1"/>
      <c r="AG59" s="1"/>
    </row>
    <row r="60" spans="1:33" ht="34.5" customHeight="1">
      <c r="A60" s="226" t="s">
        <v>60</v>
      </c>
      <c r="B60" s="211"/>
      <c r="C60" s="120" t="e">
        <f t="shared" ref="C60:Z60" si="10">IF(COUNTIF(C12:C51,3)/COUNTA(C12:C51)&lt;=0.25,"Previo al inicio",
   IF(COUNTIF(C12:C51,3)/COUNTA(C12:C51)&lt;=0.5,"Inicio",
   IF(COUNTIF(C12:C51,3)/COUNTA(C12:C51)&lt;=0.75,"Proceso",
   "Logrado")))</f>
        <v>#DIV/0!</v>
      </c>
      <c r="D60" s="120" t="e">
        <f t="shared" si="10"/>
        <v>#DIV/0!</v>
      </c>
      <c r="E60" s="120" t="e">
        <f t="shared" si="10"/>
        <v>#DIV/0!</v>
      </c>
      <c r="F60" s="120" t="e">
        <f t="shared" si="10"/>
        <v>#DIV/0!</v>
      </c>
      <c r="G60" s="120" t="e">
        <f t="shared" si="10"/>
        <v>#DIV/0!</v>
      </c>
      <c r="H60" s="121" t="e">
        <f t="shared" si="10"/>
        <v>#DIV/0!</v>
      </c>
      <c r="I60" s="122" t="e">
        <f t="shared" si="10"/>
        <v>#DIV/0!</v>
      </c>
      <c r="J60" s="122" t="e">
        <f t="shared" si="10"/>
        <v>#DIV/0!</v>
      </c>
      <c r="K60" s="123" t="e">
        <f t="shared" si="10"/>
        <v>#DIV/0!</v>
      </c>
      <c r="L60" s="124" t="e">
        <f t="shared" si="10"/>
        <v>#DIV/0!</v>
      </c>
      <c r="M60" s="125" t="e">
        <f t="shared" si="10"/>
        <v>#DIV/0!</v>
      </c>
      <c r="N60" s="125" t="e">
        <f t="shared" si="10"/>
        <v>#DIV/0!</v>
      </c>
      <c r="O60" s="125" t="e">
        <f t="shared" si="10"/>
        <v>#DIV/0!</v>
      </c>
      <c r="P60" s="125" t="e">
        <f t="shared" si="10"/>
        <v>#DIV/0!</v>
      </c>
      <c r="Q60" s="126" t="e">
        <f t="shared" si="10"/>
        <v>#DIV/0!</v>
      </c>
      <c r="R60" s="125" t="e">
        <f t="shared" si="10"/>
        <v>#DIV/0!</v>
      </c>
      <c r="S60" s="125" t="e">
        <f t="shared" si="10"/>
        <v>#DIV/0!</v>
      </c>
      <c r="T60" s="125" t="e">
        <f t="shared" si="10"/>
        <v>#DIV/0!</v>
      </c>
      <c r="U60" s="125" t="e">
        <f t="shared" si="10"/>
        <v>#DIV/0!</v>
      </c>
      <c r="V60" s="127" t="e">
        <f t="shared" si="10"/>
        <v>#DIV/0!</v>
      </c>
      <c r="W60" s="124" t="e">
        <f t="shared" si="10"/>
        <v>#DIV/0!</v>
      </c>
      <c r="X60" s="125" t="e">
        <f t="shared" si="10"/>
        <v>#DIV/0!</v>
      </c>
      <c r="Y60" s="125" t="e">
        <f t="shared" si="10"/>
        <v>#DIV/0!</v>
      </c>
      <c r="Z60" s="128" t="e">
        <f t="shared" si="10"/>
        <v>#DIV/0!</v>
      </c>
      <c r="AA60" s="1"/>
      <c r="AB60" s="1"/>
      <c r="AC60" s="238" t="s">
        <v>61</v>
      </c>
      <c r="AD60" s="211"/>
      <c r="AE60" s="74">
        <f>SUM(AE56:AE59)</f>
        <v>0</v>
      </c>
      <c r="AF60" s="1"/>
      <c r="AG60" s="1"/>
    </row>
    <row r="61" spans="1:33" ht="25.5" customHeight="1">
      <c r="A61" s="228" t="s">
        <v>62</v>
      </c>
      <c r="B61" s="229"/>
      <c r="C61" s="253" t="e">
        <f>IF(SUM(C53:G53)&lt;=100%,"Previo al Inicio",IF(SUM(C53:G53)&lt;=200%,"Inicio",
IF(SUM(C53:G53)&lt;=300%,"Proceso",
"Logrado")))</f>
        <v>#DIV/0!</v>
      </c>
      <c r="D61" s="210"/>
      <c r="E61" s="210"/>
      <c r="F61" s="210"/>
      <c r="G61" s="211"/>
      <c r="H61" s="226" t="e">
        <f>IF(SUM(H53:K53)&lt;=125%,"Previo al Inicio",IF(SUM(H53:K53)&lt;=250%,"Inicio",IF(SUM(H53:K53)&lt;=375%,"Proceso","Logrado")))</f>
        <v>#DIV/0!</v>
      </c>
      <c r="I61" s="210"/>
      <c r="J61" s="210"/>
      <c r="K61" s="211"/>
      <c r="L61" s="253" t="e">
        <f>IF(SUM(L53:P53)&lt;=150%,"Previo al Inicio",IF(SUM(L53:P53)&lt;=300%,"Inicio",IF(SUM(L53:P53)&lt;=450%,"Proceso","Logrado")))</f>
        <v>#DIV/0!</v>
      </c>
      <c r="M61" s="210"/>
      <c r="N61" s="210"/>
      <c r="O61" s="210"/>
      <c r="P61" s="252"/>
      <c r="Q61" s="253" t="e">
        <f>IF(SUM(Q53:V53)&lt;=125%,"Previo al Inicio",IF(SUM(Q53:V53)&lt;=250%,"Inicio",IF(SUM(Q53:V53)&lt;=375%,"Proceso","Logrado")))</f>
        <v>#DIV/0!</v>
      </c>
      <c r="R61" s="210"/>
      <c r="S61" s="210"/>
      <c r="T61" s="210"/>
      <c r="U61" s="210"/>
      <c r="V61" s="211"/>
      <c r="W61" s="226" t="e">
        <f>IF(SUM(W53:Z53)&lt;=125%,"Previo al Inicio",IF(SUM(W53:Z53)&lt;=250%,"Inicio",IF(SUM(W53:Z53)&lt;=375%,"Proceso","Logrado")))</f>
        <v>#DIV/0!</v>
      </c>
      <c r="X61" s="210"/>
      <c r="Y61" s="210"/>
      <c r="Z61" s="211"/>
      <c r="AA61" s="75"/>
      <c r="AB61" s="75"/>
      <c r="AC61" s="75"/>
      <c r="AD61" s="1"/>
      <c r="AE61" s="1"/>
      <c r="AF61" s="1"/>
      <c r="AG61" s="1"/>
    </row>
    <row r="62" spans="1:3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5.75" customHeight="1">
      <c r="A63" s="1"/>
      <c r="B63" s="1"/>
      <c r="C63" s="1"/>
      <c r="D63" s="1"/>
      <c r="E63" s="1"/>
      <c r="F63" s="1"/>
      <c r="G63" s="1"/>
      <c r="H63" s="1"/>
      <c r="I63" s="1"/>
      <c r="J63" s="13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5.75" customHeight="1">
      <c r="A64" s="1"/>
      <c r="B64" s="220" t="s">
        <v>63</v>
      </c>
      <c r="C64" s="210"/>
      <c r="D64" s="211"/>
      <c r="E64" s="133"/>
      <c r="F64" s="134"/>
      <c r="G64" s="13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5.75" customHeight="1">
      <c r="A65" s="1"/>
      <c r="B65" s="139" t="s">
        <v>20</v>
      </c>
      <c r="C65" s="140" t="s">
        <v>64</v>
      </c>
      <c r="D65" s="78">
        <v>3</v>
      </c>
      <c r="E65" s="135"/>
      <c r="F65" s="135"/>
      <c r="G65" s="13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5.75" customHeight="1">
      <c r="A66" s="1"/>
      <c r="B66" s="139" t="s">
        <v>21</v>
      </c>
      <c r="C66" s="80" t="s">
        <v>65</v>
      </c>
      <c r="D66" s="80">
        <v>2</v>
      </c>
      <c r="E66" s="135"/>
      <c r="F66" s="135"/>
      <c r="G66" s="13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5.75" customHeight="1">
      <c r="A67" s="1"/>
      <c r="B67" s="141" t="s">
        <v>22</v>
      </c>
      <c r="C67" s="142" t="s">
        <v>66</v>
      </c>
      <c r="D67" s="83">
        <v>1</v>
      </c>
      <c r="E67" s="135"/>
      <c r="F67" s="135"/>
      <c r="G67" s="13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5.75" customHeight="1">
      <c r="A68" s="1"/>
      <c r="B68" s="143" t="s">
        <v>23</v>
      </c>
      <c r="C68" s="86" t="s">
        <v>67</v>
      </c>
      <c r="D68" s="86">
        <v>0</v>
      </c>
      <c r="E68" s="135"/>
      <c r="F68" s="135"/>
      <c r="G68" s="13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5.75" customHeight="1"/>
    <row r="83" spans="1:33" ht="15.75" customHeight="1"/>
    <row r="84" spans="1:33" ht="15.75" customHeight="1"/>
    <row r="85" spans="1:33" ht="15.75" customHeight="1"/>
    <row r="86" spans="1:33" ht="15.75" customHeight="1"/>
    <row r="87" spans="1:33" ht="15.75" customHeight="1"/>
    <row r="88" spans="1:33" ht="15.75" customHeight="1"/>
    <row r="89" spans="1:33" ht="15.75" customHeight="1"/>
    <row r="90" spans="1:33" ht="15.75" customHeight="1"/>
    <row r="91" spans="1:33" ht="15.75" customHeight="1"/>
    <row r="92" spans="1:33" ht="15.75" customHeight="1"/>
    <row r="93" spans="1:33" ht="15.75" customHeight="1"/>
    <row r="94" spans="1:33" ht="15.75" customHeight="1"/>
    <row r="95" spans="1:33" ht="15.75" customHeight="1"/>
    <row r="96" spans="1:33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AC52:AE52"/>
    <mergeCell ref="AC53:AD55"/>
    <mergeCell ref="AE53:AE55"/>
    <mergeCell ref="AD10:AD11"/>
    <mergeCell ref="A61:B61"/>
    <mergeCell ref="C61:G61"/>
    <mergeCell ref="AF53:AF55"/>
    <mergeCell ref="AC57:AD57"/>
    <mergeCell ref="AC58:AD58"/>
    <mergeCell ref="AC59:AD59"/>
    <mergeCell ref="AC60:AD60"/>
    <mergeCell ref="AC56:AD56"/>
    <mergeCell ref="A1:AE1"/>
    <mergeCell ref="C3:AE3"/>
    <mergeCell ref="C5:Z5"/>
    <mergeCell ref="AA5:AD9"/>
    <mergeCell ref="AE5:AE11"/>
    <mergeCell ref="W6:Z6"/>
    <mergeCell ref="W8:Z8"/>
    <mergeCell ref="A3:B3"/>
    <mergeCell ref="C7:G7"/>
    <mergeCell ref="C6:G6"/>
    <mergeCell ref="H6:K6"/>
    <mergeCell ref="L6:P6"/>
    <mergeCell ref="Q6:V6"/>
    <mergeCell ref="H7:K7"/>
    <mergeCell ref="L7:P7"/>
    <mergeCell ref="W7:Z7"/>
    <mergeCell ref="W9:Z9"/>
    <mergeCell ref="AA10:AA11"/>
    <mergeCell ref="AB10:AB11"/>
    <mergeCell ref="AC10:AC11"/>
    <mergeCell ref="B64:D64"/>
    <mergeCell ref="H61:K61"/>
    <mergeCell ref="L61:P61"/>
    <mergeCell ref="Q61:V61"/>
    <mergeCell ref="W61:Z61"/>
    <mergeCell ref="A52:B52"/>
    <mergeCell ref="A53:B53"/>
    <mergeCell ref="A54:B54"/>
    <mergeCell ref="A55:B55"/>
    <mergeCell ref="A56:B56"/>
    <mergeCell ref="A57:B57"/>
    <mergeCell ref="A60:B60"/>
    <mergeCell ref="A5:A11"/>
    <mergeCell ref="C9:G9"/>
    <mergeCell ref="H9:K9"/>
    <mergeCell ref="L9:P9"/>
    <mergeCell ref="Q9:V9"/>
    <mergeCell ref="H8:K8"/>
    <mergeCell ref="L8:P8"/>
    <mergeCell ref="Q8:V8"/>
    <mergeCell ref="Q7:V7"/>
    <mergeCell ref="C8:G8"/>
  </mergeCells>
  <conditionalFormatting sqref="C60:Z60">
    <cfRule type="expression" dxfId="107" priority="1">
      <formula>C60="Logrado"</formula>
    </cfRule>
  </conditionalFormatting>
  <conditionalFormatting sqref="C60:Z60">
    <cfRule type="expression" dxfId="106" priority="2">
      <formula>C60="Proceso"</formula>
    </cfRule>
  </conditionalFormatting>
  <conditionalFormatting sqref="C60:Z60">
    <cfRule type="expression" dxfId="105" priority="3">
      <formula>C60="Inicio"</formula>
    </cfRule>
  </conditionalFormatting>
  <conditionalFormatting sqref="C60:Z60">
    <cfRule type="expression" dxfId="104" priority="4">
      <formula>C60="Previo al Inicio"</formula>
    </cfRule>
  </conditionalFormatting>
  <conditionalFormatting sqref="C61">
    <cfRule type="expression" dxfId="103" priority="5">
      <formula>C61="Previo al inicio"</formula>
    </cfRule>
  </conditionalFormatting>
  <conditionalFormatting sqref="C61">
    <cfRule type="expression" dxfId="102" priority="6">
      <formula>C61="Inicio"</formula>
    </cfRule>
  </conditionalFormatting>
  <conditionalFormatting sqref="C61">
    <cfRule type="expression" dxfId="101" priority="7">
      <formula>C61="Proceso"</formula>
    </cfRule>
  </conditionalFormatting>
  <conditionalFormatting sqref="C61">
    <cfRule type="expression" dxfId="100" priority="8">
      <formula>C61="Logrado"</formula>
    </cfRule>
  </conditionalFormatting>
  <conditionalFormatting sqref="H61">
    <cfRule type="expression" dxfId="99" priority="9">
      <formula>H61="Previo al inicio"</formula>
    </cfRule>
  </conditionalFormatting>
  <conditionalFormatting sqref="H61">
    <cfRule type="expression" dxfId="98" priority="10">
      <formula>H61="Inicio"</formula>
    </cfRule>
  </conditionalFormatting>
  <conditionalFormatting sqref="H61">
    <cfRule type="expression" dxfId="97" priority="11">
      <formula>H61="Proceso"</formula>
    </cfRule>
  </conditionalFormatting>
  <conditionalFormatting sqref="H61">
    <cfRule type="expression" dxfId="96" priority="12">
      <formula>H61="Logrado"</formula>
    </cfRule>
  </conditionalFormatting>
  <conditionalFormatting sqref="L61">
    <cfRule type="expression" dxfId="95" priority="13">
      <formula>L61="Previo al inicio"</formula>
    </cfRule>
  </conditionalFormatting>
  <conditionalFormatting sqref="L61">
    <cfRule type="expression" dxfId="94" priority="14">
      <formula>L61="Inicio"</formula>
    </cfRule>
  </conditionalFormatting>
  <conditionalFormatting sqref="L61">
    <cfRule type="expression" dxfId="93" priority="15">
      <formula>L61="Proceso"</formula>
    </cfRule>
  </conditionalFormatting>
  <conditionalFormatting sqref="L61">
    <cfRule type="expression" dxfId="92" priority="16">
      <formula>L61="Logrado"</formula>
    </cfRule>
  </conditionalFormatting>
  <conditionalFormatting sqref="Q61">
    <cfRule type="expression" dxfId="91" priority="17">
      <formula>Q61="Previo al inicio"</formula>
    </cfRule>
  </conditionalFormatting>
  <conditionalFormatting sqref="Q61">
    <cfRule type="expression" dxfId="90" priority="18">
      <formula>Q61="Inicio"</formula>
    </cfRule>
  </conditionalFormatting>
  <conditionalFormatting sqref="Q61">
    <cfRule type="expression" dxfId="89" priority="19">
      <formula>Q61="Proceso"</formula>
    </cfRule>
  </conditionalFormatting>
  <conditionalFormatting sqref="Q61">
    <cfRule type="expression" dxfId="88" priority="20">
      <formula>Q61="Logrado"</formula>
    </cfRule>
  </conditionalFormatting>
  <conditionalFormatting sqref="W61">
    <cfRule type="expression" dxfId="87" priority="21">
      <formula>W61="Previo al inicio"</formula>
    </cfRule>
  </conditionalFormatting>
  <conditionalFormatting sqref="W61">
    <cfRule type="expression" dxfId="86" priority="22">
      <formula>W61="Inicio"</formula>
    </cfRule>
  </conditionalFormatting>
  <conditionalFormatting sqref="W61">
    <cfRule type="expression" dxfId="85" priority="23">
      <formula>W61="Proceso"</formula>
    </cfRule>
  </conditionalFormatting>
  <conditionalFormatting sqref="W61">
    <cfRule type="expression" dxfId="84" priority="24">
      <formula>W61="Logrado"</formula>
    </cfRule>
  </conditionalFormatting>
  <conditionalFormatting sqref="AE12:AE51">
    <cfRule type="expression" dxfId="83" priority="25">
      <formula>AE12="Logrado"</formula>
    </cfRule>
  </conditionalFormatting>
  <conditionalFormatting sqref="AE12:AE51">
    <cfRule type="expression" dxfId="82" priority="26">
      <formula>AE12="Proceso"</formula>
    </cfRule>
  </conditionalFormatting>
  <conditionalFormatting sqref="AE12:AE51">
    <cfRule type="expression" dxfId="81" priority="27">
      <formula>AE12="Inicio"</formula>
    </cfRule>
  </conditionalFormatting>
  <conditionalFormatting sqref="AE12:AE51">
    <cfRule type="expression" dxfId="80" priority="28">
      <formula>AE12="Previo al Inicio"</formula>
    </cfRule>
  </conditionalFormatting>
  <dataValidations count="1">
    <dataValidation type="list" allowBlank="1" showErrorMessage="1" sqref="C12:Z51 D65:E68" xr:uid="{00000000-0002-0000-1700-000000000000}">
      <formula1>"0,1,2,3"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G1000"/>
  <sheetViews>
    <sheetView workbookViewId="0"/>
  </sheetViews>
  <sheetFormatPr baseColWidth="10" defaultColWidth="14.44140625" defaultRowHeight="15" customHeight="1"/>
  <cols>
    <col min="1" max="1" width="6.44140625" customWidth="1"/>
    <col min="2" max="2" width="44" customWidth="1"/>
    <col min="3" max="3" width="2" customWidth="1"/>
    <col min="4" max="4" width="0.44140625" customWidth="1"/>
    <col min="5" max="26" width="12.6640625" customWidth="1"/>
    <col min="27" max="30" width="10.6640625" customWidth="1"/>
    <col min="31" max="31" width="21" customWidth="1"/>
    <col min="32" max="32" width="10.6640625" customWidth="1"/>
    <col min="33" max="33" width="17.5546875" customWidth="1"/>
  </cols>
  <sheetData>
    <row r="1" spans="1:33" ht="33">
      <c r="A1" s="173" t="s">
        <v>116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5"/>
      <c r="AF1" s="1"/>
      <c r="AG1" s="1"/>
    </row>
    <row r="2" spans="1:33" ht="15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1">
      <c r="A3" s="176" t="s">
        <v>1</v>
      </c>
      <c r="B3" s="177"/>
      <c r="C3" s="244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70"/>
      <c r="AF3" s="1"/>
      <c r="AG3" s="1"/>
    </row>
    <row r="4" spans="1:33" ht="15.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1"/>
      <c r="AG4" s="1"/>
    </row>
    <row r="5" spans="1:33" ht="52.5" customHeight="1">
      <c r="A5" s="179" t="s">
        <v>2</v>
      </c>
      <c r="B5" s="3" t="s">
        <v>3</v>
      </c>
      <c r="C5" s="245" t="s">
        <v>4</v>
      </c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7"/>
      <c r="AA5" s="185" t="s">
        <v>5</v>
      </c>
      <c r="AB5" s="186"/>
      <c r="AC5" s="186"/>
      <c r="AD5" s="187"/>
      <c r="AE5" s="194" t="s">
        <v>6</v>
      </c>
      <c r="AF5" s="1"/>
      <c r="AG5" s="1"/>
    </row>
    <row r="6" spans="1:33" ht="52.5" customHeight="1">
      <c r="A6" s="180"/>
      <c r="B6" s="4" t="s">
        <v>7</v>
      </c>
      <c r="C6" s="195" t="s">
        <v>117</v>
      </c>
      <c r="D6" s="169"/>
      <c r="E6" s="169"/>
      <c r="F6" s="170"/>
      <c r="G6" s="168" t="s">
        <v>118</v>
      </c>
      <c r="H6" s="169"/>
      <c r="I6" s="169"/>
      <c r="J6" s="169"/>
      <c r="K6" s="170"/>
      <c r="L6" s="195" t="s">
        <v>119</v>
      </c>
      <c r="M6" s="169"/>
      <c r="N6" s="169"/>
      <c r="O6" s="169"/>
      <c r="P6" s="259"/>
      <c r="Q6" s="168" t="s">
        <v>120</v>
      </c>
      <c r="R6" s="169"/>
      <c r="S6" s="169"/>
      <c r="T6" s="169"/>
      <c r="U6" s="170"/>
      <c r="V6" s="168" t="s">
        <v>121</v>
      </c>
      <c r="W6" s="169"/>
      <c r="X6" s="169"/>
      <c r="Y6" s="169"/>
      <c r="Z6" s="170"/>
      <c r="AA6" s="188"/>
      <c r="AB6" s="189"/>
      <c r="AC6" s="189"/>
      <c r="AD6" s="190"/>
      <c r="AE6" s="180"/>
      <c r="AF6" s="1"/>
      <c r="AG6" s="1"/>
    </row>
    <row r="7" spans="1:33" ht="52.5" customHeight="1">
      <c r="A7" s="180"/>
      <c r="B7" s="5" t="s">
        <v>10</v>
      </c>
      <c r="C7" s="255" t="s">
        <v>110</v>
      </c>
      <c r="D7" s="198"/>
      <c r="E7" s="198"/>
      <c r="F7" s="256"/>
      <c r="G7" s="197" t="s">
        <v>81</v>
      </c>
      <c r="H7" s="198"/>
      <c r="I7" s="198"/>
      <c r="J7" s="198"/>
      <c r="K7" s="256"/>
      <c r="L7" s="197" t="s">
        <v>108</v>
      </c>
      <c r="M7" s="198"/>
      <c r="N7" s="198"/>
      <c r="O7" s="198"/>
      <c r="P7" s="256"/>
      <c r="Q7" s="197" t="s">
        <v>11</v>
      </c>
      <c r="R7" s="198"/>
      <c r="S7" s="198"/>
      <c r="T7" s="198"/>
      <c r="U7" s="199"/>
      <c r="V7" s="197" t="s">
        <v>109</v>
      </c>
      <c r="W7" s="198"/>
      <c r="X7" s="198"/>
      <c r="Y7" s="198"/>
      <c r="Z7" s="199"/>
      <c r="AA7" s="188"/>
      <c r="AB7" s="189"/>
      <c r="AC7" s="189"/>
      <c r="AD7" s="190"/>
      <c r="AE7" s="180"/>
      <c r="AF7" s="1"/>
      <c r="AG7" s="1"/>
    </row>
    <row r="8" spans="1:33" ht="52.5" customHeight="1">
      <c r="A8" s="180"/>
      <c r="B8" s="4" t="s">
        <v>12</v>
      </c>
      <c r="C8" s="195" t="s">
        <v>113</v>
      </c>
      <c r="D8" s="169"/>
      <c r="E8" s="169"/>
      <c r="F8" s="170"/>
      <c r="G8" s="168" t="s">
        <v>122</v>
      </c>
      <c r="H8" s="169"/>
      <c r="I8" s="169"/>
      <c r="J8" s="169"/>
      <c r="K8" s="170"/>
      <c r="L8" s="195" t="s">
        <v>111</v>
      </c>
      <c r="M8" s="169"/>
      <c r="N8" s="169"/>
      <c r="O8" s="169"/>
      <c r="P8" s="170"/>
      <c r="Q8" s="168" t="s">
        <v>123</v>
      </c>
      <c r="R8" s="169"/>
      <c r="S8" s="169"/>
      <c r="T8" s="169"/>
      <c r="U8" s="170"/>
      <c r="V8" s="168" t="s">
        <v>124</v>
      </c>
      <c r="W8" s="169"/>
      <c r="X8" s="169"/>
      <c r="Y8" s="169"/>
      <c r="Z8" s="170"/>
      <c r="AA8" s="188"/>
      <c r="AB8" s="189"/>
      <c r="AC8" s="189"/>
      <c r="AD8" s="190"/>
      <c r="AE8" s="180"/>
      <c r="AF8" s="1"/>
      <c r="AG8" s="1"/>
    </row>
    <row r="9" spans="1:33" ht="52.5" customHeight="1">
      <c r="A9" s="180"/>
      <c r="B9" s="6" t="s">
        <v>15</v>
      </c>
      <c r="C9" s="255" t="s">
        <v>115</v>
      </c>
      <c r="D9" s="198"/>
      <c r="E9" s="198"/>
      <c r="F9" s="256"/>
      <c r="G9" s="197" t="s">
        <v>16</v>
      </c>
      <c r="H9" s="198"/>
      <c r="I9" s="198"/>
      <c r="J9" s="198"/>
      <c r="K9" s="256"/>
      <c r="L9" s="255" t="s">
        <v>16</v>
      </c>
      <c r="M9" s="198"/>
      <c r="N9" s="198"/>
      <c r="O9" s="198"/>
      <c r="P9" s="257"/>
      <c r="Q9" s="197" t="s">
        <v>16</v>
      </c>
      <c r="R9" s="198"/>
      <c r="S9" s="198"/>
      <c r="T9" s="198"/>
      <c r="U9" s="256"/>
      <c r="V9" s="197" t="s">
        <v>16</v>
      </c>
      <c r="W9" s="198"/>
      <c r="X9" s="198"/>
      <c r="Y9" s="198"/>
      <c r="Z9" s="199"/>
      <c r="AA9" s="191"/>
      <c r="AB9" s="192"/>
      <c r="AC9" s="192"/>
      <c r="AD9" s="193"/>
      <c r="AE9" s="180"/>
      <c r="AF9" s="1"/>
      <c r="AG9" s="1"/>
    </row>
    <row r="10" spans="1:33" ht="151.5" customHeight="1">
      <c r="A10" s="180"/>
      <c r="B10" s="144" t="s">
        <v>17</v>
      </c>
      <c r="C10" s="145" t="s">
        <v>19</v>
      </c>
      <c r="D10" s="145" t="s">
        <v>19</v>
      </c>
      <c r="E10" s="145" t="s">
        <v>19</v>
      </c>
      <c r="F10" s="146" t="s">
        <v>83</v>
      </c>
      <c r="G10" s="147" t="s">
        <v>18</v>
      </c>
      <c r="H10" s="145" t="s">
        <v>18</v>
      </c>
      <c r="I10" s="145" t="s">
        <v>19</v>
      </c>
      <c r="J10" s="145" t="s">
        <v>18</v>
      </c>
      <c r="K10" s="146" t="s">
        <v>19</v>
      </c>
      <c r="L10" s="145" t="s">
        <v>19</v>
      </c>
      <c r="M10" s="145" t="s">
        <v>19</v>
      </c>
      <c r="N10" s="145" t="s">
        <v>19</v>
      </c>
      <c r="O10" s="145" t="s">
        <v>19</v>
      </c>
      <c r="P10" s="148" t="s">
        <v>83</v>
      </c>
      <c r="Q10" s="147" t="s">
        <v>18</v>
      </c>
      <c r="R10" s="145" t="s">
        <v>18</v>
      </c>
      <c r="S10" s="145" t="s">
        <v>19</v>
      </c>
      <c r="T10" s="145" t="s">
        <v>19</v>
      </c>
      <c r="U10" s="146" t="s">
        <v>83</v>
      </c>
      <c r="V10" s="145" t="s">
        <v>19</v>
      </c>
      <c r="W10" s="145" t="s">
        <v>18</v>
      </c>
      <c r="X10" s="145" t="s">
        <v>19</v>
      </c>
      <c r="Y10" s="145" t="s">
        <v>19</v>
      </c>
      <c r="Z10" s="146" t="s">
        <v>83</v>
      </c>
      <c r="AA10" s="200" t="s">
        <v>20</v>
      </c>
      <c r="AB10" s="202" t="s">
        <v>21</v>
      </c>
      <c r="AC10" s="206" t="s">
        <v>22</v>
      </c>
      <c r="AD10" s="207" t="s">
        <v>23</v>
      </c>
      <c r="AE10" s="180"/>
      <c r="AF10" s="1"/>
      <c r="AG10" s="1"/>
    </row>
    <row r="11" spans="1:33" ht="24" customHeight="1">
      <c r="A11" s="181"/>
      <c r="B11" s="149" t="s">
        <v>24</v>
      </c>
      <c r="C11" s="150" t="s">
        <v>25</v>
      </c>
      <c r="D11" s="151" t="s">
        <v>26</v>
      </c>
      <c r="E11" s="150" t="s">
        <v>27</v>
      </c>
      <c r="F11" s="151" t="s">
        <v>28</v>
      </c>
      <c r="G11" s="150" t="s">
        <v>29</v>
      </c>
      <c r="H11" s="151" t="s">
        <v>30</v>
      </c>
      <c r="I11" s="150" t="s">
        <v>31</v>
      </c>
      <c r="J11" s="151" t="s">
        <v>84</v>
      </c>
      <c r="K11" s="150" t="s">
        <v>85</v>
      </c>
      <c r="L11" s="151" t="s">
        <v>86</v>
      </c>
      <c r="M11" s="150" t="s">
        <v>87</v>
      </c>
      <c r="N11" s="151" t="s">
        <v>88</v>
      </c>
      <c r="O11" s="150" t="s">
        <v>89</v>
      </c>
      <c r="P11" s="151" t="s">
        <v>90</v>
      </c>
      <c r="Q11" s="150" t="s">
        <v>91</v>
      </c>
      <c r="R11" s="151" t="s">
        <v>92</v>
      </c>
      <c r="S11" s="150" t="s">
        <v>93</v>
      </c>
      <c r="T11" s="151" t="s">
        <v>94</v>
      </c>
      <c r="U11" s="150" t="s">
        <v>95</v>
      </c>
      <c r="V11" s="151" t="s">
        <v>96</v>
      </c>
      <c r="W11" s="150" t="s">
        <v>97</v>
      </c>
      <c r="X11" s="151" t="s">
        <v>98</v>
      </c>
      <c r="Y11" s="150" t="s">
        <v>99</v>
      </c>
      <c r="Z11" s="151" t="s">
        <v>100</v>
      </c>
      <c r="AA11" s="201"/>
      <c r="AB11" s="203"/>
      <c r="AC11" s="201"/>
      <c r="AD11" s="208"/>
      <c r="AE11" s="181"/>
      <c r="AF11" s="1"/>
      <c r="AG11" s="1"/>
    </row>
    <row r="12" spans="1:33" ht="19.5" customHeight="1">
      <c r="A12" s="14">
        <v>1</v>
      </c>
      <c r="B12" s="265"/>
      <c r="C12" s="263"/>
      <c r="D12" s="264"/>
      <c r="E12" s="41">
        <v>3</v>
      </c>
      <c r="F12" s="43">
        <v>3</v>
      </c>
      <c r="G12" s="106">
        <v>3</v>
      </c>
      <c r="H12" s="41">
        <v>3</v>
      </c>
      <c r="I12" s="41">
        <v>1</v>
      </c>
      <c r="J12" s="41">
        <v>1</v>
      </c>
      <c r="K12" s="43">
        <v>1</v>
      </c>
      <c r="L12" s="40">
        <v>1</v>
      </c>
      <c r="M12" s="41">
        <v>3</v>
      </c>
      <c r="N12" s="41">
        <v>3</v>
      </c>
      <c r="O12" s="41">
        <v>3</v>
      </c>
      <c r="P12" s="41">
        <v>3</v>
      </c>
      <c r="Q12" s="106">
        <v>3</v>
      </c>
      <c r="R12" s="41">
        <v>1</v>
      </c>
      <c r="S12" s="41">
        <v>3</v>
      </c>
      <c r="T12" s="41">
        <v>3</v>
      </c>
      <c r="U12" s="43">
        <v>3</v>
      </c>
      <c r="V12" s="106">
        <v>3</v>
      </c>
      <c r="W12" s="41">
        <v>3</v>
      </c>
      <c r="X12" s="41">
        <v>3</v>
      </c>
      <c r="Y12" s="41">
        <v>1</v>
      </c>
      <c r="Z12" s="43">
        <v>3</v>
      </c>
      <c r="AA12" s="22">
        <f t="shared" ref="AA12:AA51" si="0">COUNTIF(C12:Z12,3)</f>
        <v>16</v>
      </c>
      <c r="AB12" s="23">
        <f t="shared" ref="AB12:AB51" si="1">COUNTIF(C12:Z12,2)</f>
        <v>0</v>
      </c>
      <c r="AC12" s="24">
        <f t="shared" ref="AC12:AC51" si="2">COUNTIF(C12:Z12,1)</f>
        <v>6</v>
      </c>
      <c r="AD12" s="23">
        <f t="shared" ref="AD12:AD51" si="3">COUNTIF(C12:Z12,0)</f>
        <v>0</v>
      </c>
      <c r="AE12" s="25" t="str">
        <f t="shared" ref="AE12:AE51" si="4">IF(COUNTA(C12:Z12)=0, "",
   IF(COUNTIF(C12:Z12,3)&lt;=6, "Previo al Inicio",
   IF(COUNTIF(C12:Z12,3)&lt;=12, "Inicio",
   IF(COUNTIF(C12:Z12,3)&lt;=19, "Proceso",
   IF(COUNTIF(C12:Z12,3)&lt;=24, "Logrado", "")))))</f>
        <v>Proceso</v>
      </c>
      <c r="AF12" s="1"/>
      <c r="AG12" s="1"/>
    </row>
    <row r="13" spans="1:33" ht="19.5" customHeight="1">
      <c r="A13" s="26">
        <v>2</v>
      </c>
      <c r="B13" s="265"/>
      <c r="C13" s="263"/>
      <c r="D13" s="264"/>
      <c r="E13" s="31">
        <v>3</v>
      </c>
      <c r="F13" s="33">
        <v>3</v>
      </c>
      <c r="G13" s="103">
        <v>3</v>
      </c>
      <c r="H13" s="31">
        <v>1</v>
      </c>
      <c r="I13" s="31">
        <v>3</v>
      </c>
      <c r="J13" s="31">
        <v>3</v>
      </c>
      <c r="K13" s="33">
        <v>3</v>
      </c>
      <c r="L13" s="30">
        <v>3</v>
      </c>
      <c r="M13" s="31">
        <v>3</v>
      </c>
      <c r="N13" s="31">
        <v>1</v>
      </c>
      <c r="O13" s="31">
        <v>1</v>
      </c>
      <c r="P13" s="31">
        <v>3</v>
      </c>
      <c r="Q13" s="103">
        <v>1</v>
      </c>
      <c r="R13" s="31">
        <v>1</v>
      </c>
      <c r="S13" s="31">
        <v>3</v>
      </c>
      <c r="T13" s="31">
        <v>3</v>
      </c>
      <c r="U13" s="33">
        <v>1</v>
      </c>
      <c r="V13" s="103">
        <v>1</v>
      </c>
      <c r="W13" s="31">
        <v>1</v>
      </c>
      <c r="X13" s="31">
        <v>3</v>
      </c>
      <c r="Y13" s="31">
        <v>3</v>
      </c>
      <c r="Z13" s="33">
        <v>1</v>
      </c>
      <c r="AA13" s="34">
        <f t="shared" si="0"/>
        <v>13</v>
      </c>
      <c r="AB13" s="35">
        <f t="shared" si="1"/>
        <v>0</v>
      </c>
      <c r="AC13" s="36">
        <f t="shared" si="2"/>
        <v>9</v>
      </c>
      <c r="AD13" s="35">
        <f t="shared" si="3"/>
        <v>0</v>
      </c>
      <c r="AE13" s="25" t="str">
        <f t="shared" si="4"/>
        <v>Proceso</v>
      </c>
      <c r="AF13" s="1"/>
      <c r="AG13" s="1"/>
    </row>
    <row r="14" spans="1:33" ht="19.5" customHeight="1">
      <c r="A14" s="37">
        <v>3</v>
      </c>
      <c r="B14" s="262"/>
      <c r="C14" s="263"/>
      <c r="D14" s="264"/>
      <c r="E14" s="41">
        <v>1</v>
      </c>
      <c r="F14" s="43">
        <v>3</v>
      </c>
      <c r="G14" s="106">
        <v>3</v>
      </c>
      <c r="H14" s="41">
        <v>1</v>
      </c>
      <c r="I14" s="41"/>
      <c r="J14" s="41"/>
      <c r="K14" s="43"/>
      <c r="L14" s="40"/>
      <c r="M14" s="41"/>
      <c r="N14" s="41"/>
      <c r="O14" s="41"/>
      <c r="P14" s="41"/>
      <c r="Q14" s="106"/>
      <c r="R14" s="41"/>
      <c r="S14" s="41"/>
      <c r="T14" s="41"/>
      <c r="U14" s="43"/>
      <c r="V14" s="106"/>
      <c r="W14" s="41"/>
      <c r="X14" s="41"/>
      <c r="Y14" s="41"/>
      <c r="Z14" s="43"/>
      <c r="AA14" s="22">
        <f t="shared" si="0"/>
        <v>2</v>
      </c>
      <c r="AB14" s="44">
        <f t="shared" si="1"/>
        <v>0</v>
      </c>
      <c r="AC14" s="45">
        <f t="shared" si="2"/>
        <v>2</v>
      </c>
      <c r="AD14" s="44">
        <f t="shared" si="3"/>
        <v>0</v>
      </c>
      <c r="AE14" s="25" t="str">
        <f t="shared" si="4"/>
        <v>Previo al Inicio</v>
      </c>
      <c r="AF14" s="1"/>
      <c r="AG14" s="1"/>
    </row>
    <row r="15" spans="1:33" ht="19.5" customHeight="1">
      <c r="A15" s="26">
        <v>4</v>
      </c>
      <c r="B15" s="265"/>
      <c r="C15" s="263"/>
      <c r="D15" s="264"/>
      <c r="E15" s="31"/>
      <c r="F15" s="33"/>
      <c r="G15" s="103"/>
      <c r="H15" s="31"/>
      <c r="I15" s="31"/>
      <c r="J15" s="31"/>
      <c r="K15" s="33"/>
      <c r="L15" s="30"/>
      <c r="M15" s="31"/>
      <c r="N15" s="31"/>
      <c r="O15" s="31"/>
      <c r="P15" s="31"/>
      <c r="Q15" s="103"/>
      <c r="R15" s="31"/>
      <c r="S15" s="31"/>
      <c r="T15" s="31"/>
      <c r="U15" s="33"/>
      <c r="V15" s="103"/>
      <c r="W15" s="31"/>
      <c r="X15" s="31"/>
      <c r="Y15" s="31"/>
      <c r="Z15" s="33"/>
      <c r="AA15" s="34">
        <f t="shared" si="0"/>
        <v>0</v>
      </c>
      <c r="AB15" s="35">
        <f t="shared" si="1"/>
        <v>0</v>
      </c>
      <c r="AC15" s="36">
        <f t="shared" si="2"/>
        <v>0</v>
      </c>
      <c r="AD15" s="35">
        <f t="shared" si="3"/>
        <v>0</v>
      </c>
      <c r="AE15" s="25" t="str">
        <f t="shared" si="4"/>
        <v/>
      </c>
      <c r="AF15" s="1"/>
      <c r="AG15" s="1"/>
    </row>
    <row r="16" spans="1:33" ht="19.5" customHeight="1">
      <c r="A16" s="37">
        <v>5</v>
      </c>
      <c r="B16" s="265"/>
      <c r="C16" s="263"/>
      <c r="D16" s="264"/>
      <c r="E16" s="41"/>
      <c r="F16" s="43"/>
      <c r="G16" s="106"/>
      <c r="H16" s="41"/>
      <c r="I16" s="41"/>
      <c r="J16" s="41"/>
      <c r="K16" s="43"/>
      <c r="L16" s="40"/>
      <c r="M16" s="41"/>
      <c r="N16" s="41"/>
      <c r="O16" s="41"/>
      <c r="P16" s="41"/>
      <c r="Q16" s="106"/>
      <c r="R16" s="41"/>
      <c r="S16" s="41"/>
      <c r="T16" s="41"/>
      <c r="U16" s="43"/>
      <c r="V16" s="106"/>
      <c r="W16" s="41"/>
      <c r="X16" s="41"/>
      <c r="Y16" s="41"/>
      <c r="Z16" s="43"/>
      <c r="AA16" s="22">
        <f t="shared" si="0"/>
        <v>0</v>
      </c>
      <c r="AB16" s="44">
        <f t="shared" si="1"/>
        <v>0</v>
      </c>
      <c r="AC16" s="45">
        <f t="shared" si="2"/>
        <v>0</v>
      </c>
      <c r="AD16" s="44">
        <f t="shared" si="3"/>
        <v>0</v>
      </c>
      <c r="AE16" s="25" t="str">
        <f t="shared" si="4"/>
        <v/>
      </c>
      <c r="AF16" s="1"/>
      <c r="AG16" s="1"/>
    </row>
    <row r="17" spans="1:33" ht="19.5" customHeight="1">
      <c r="A17" s="26">
        <v>6</v>
      </c>
      <c r="B17" s="262"/>
      <c r="C17" s="263"/>
      <c r="D17" s="264"/>
      <c r="E17" s="31"/>
      <c r="F17" s="33"/>
      <c r="G17" s="103"/>
      <c r="H17" s="31"/>
      <c r="I17" s="31"/>
      <c r="J17" s="31"/>
      <c r="K17" s="33"/>
      <c r="L17" s="30"/>
      <c r="M17" s="31"/>
      <c r="N17" s="31"/>
      <c r="O17" s="31"/>
      <c r="P17" s="31"/>
      <c r="Q17" s="103"/>
      <c r="R17" s="31"/>
      <c r="S17" s="31"/>
      <c r="T17" s="31"/>
      <c r="U17" s="33"/>
      <c r="V17" s="103"/>
      <c r="W17" s="31"/>
      <c r="X17" s="31"/>
      <c r="Y17" s="31"/>
      <c r="Z17" s="33"/>
      <c r="AA17" s="34">
        <f t="shared" si="0"/>
        <v>0</v>
      </c>
      <c r="AB17" s="35">
        <f t="shared" si="1"/>
        <v>0</v>
      </c>
      <c r="AC17" s="36">
        <f t="shared" si="2"/>
        <v>0</v>
      </c>
      <c r="AD17" s="35">
        <f t="shared" si="3"/>
        <v>0</v>
      </c>
      <c r="AE17" s="25" t="str">
        <f t="shared" si="4"/>
        <v/>
      </c>
      <c r="AF17" s="1"/>
      <c r="AG17" s="1"/>
    </row>
    <row r="18" spans="1:33" ht="19.5" customHeight="1">
      <c r="A18" s="37">
        <v>7</v>
      </c>
      <c r="B18" s="262"/>
      <c r="C18" s="263"/>
      <c r="D18" s="264"/>
      <c r="E18" s="41"/>
      <c r="F18" s="43"/>
      <c r="G18" s="106"/>
      <c r="H18" s="41"/>
      <c r="I18" s="41"/>
      <c r="J18" s="41"/>
      <c r="K18" s="43"/>
      <c r="L18" s="40"/>
      <c r="M18" s="41"/>
      <c r="N18" s="41"/>
      <c r="O18" s="41"/>
      <c r="P18" s="41"/>
      <c r="Q18" s="106"/>
      <c r="R18" s="41"/>
      <c r="S18" s="41"/>
      <c r="T18" s="41"/>
      <c r="U18" s="43"/>
      <c r="V18" s="106"/>
      <c r="W18" s="41"/>
      <c r="X18" s="41"/>
      <c r="Y18" s="41"/>
      <c r="Z18" s="43"/>
      <c r="AA18" s="22">
        <f t="shared" si="0"/>
        <v>0</v>
      </c>
      <c r="AB18" s="44">
        <f t="shared" si="1"/>
        <v>0</v>
      </c>
      <c r="AC18" s="45">
        <f t="shared" si="2"/>
        <v>0</v>
      </c>
      <c r="AD18" s="44">
        <f t="shared" si="3"/>
        <v>0</v>
      </c>
      <c r="AE18" s="25" t="str">
        <f t="shared" si="4"/>
        <v/>
      </c>
      <c r="AF18" s="1"/>
      <c r="AG18" s="1"/>
    </row>
    <row r="19" spans="1:33" ht="19.5" customHeight="1">
      <c r="A19" s="26">
        <v>8</v>
      </c>
      <c r="B19" s="262"/>
      <c r="C19" s="263"/>
      <c r="D19" s="264"/>
      <c r="E19" s="31"/>
      <c r="F19" s="33"/>
      <c r="G19" s="103"/>
      <c r="H19" s="31"/>
      <c r="I19" s="31"/>
      <c r="J19" s="31"/>
      <c r="K19" s="33"/>
      <c r="L19" s="30"/>
      <c r="M19" s="31"/>
      <c r="N19" s="31"/>
      <c r="O19" s="31"/>
      <c r="P19" s="31"/>
      <c r="Q19" s="103"/>
      <c r="R19" s="31"/>
      <c r="S19" s="31"/>
      <c r="T19" s="31"/>
      <c r="U19" s="33"/>
      <c r="V19" s="103"/>
      <c r="W19" s="31"/>
      <c r="X19" s="31"/>
      <c r="Y19" s="31"/>
      <c r="Z19" s="33"/>
      <c r="AA19" s="34">
        <f t="shared" si="0"/>
        <v>0</v>
      </c>
      <c r="AB19" s="35">
        <f t="shared" si="1"/>
        <v>0</v>
      </c>
      <c r="AC19" s="36">
        <f t="shared" si="2"/>
        <v>0</v>
      </c>
      <c r="AD19" s="35">
        <f t="shared" si="3"/>
        <v>0</v>
      </c>
      <c r="AE19" s="25" t="str">
        <f t="shared" si="4"/>
        <v/>
      </c>
      <c r="AF19" s="1"/>
      <c r="AG19" s="1"/>
    </row>
    <row r="20" spans="1:33" ht="19.5" customHeight="1">
      <c r="A20" s="37">
        <v>9</v>
      </c>
      <c r="B20" s="262"/>
      <c r="C20" s="263"/>
      <c r="D20" s="264"/>
      <c r="E20" s="41"/>
      <c r="F20" s="43"/>
      <c r="G20" s="106"/>
      <c r="H20" s="41"/>
      <c r="I20" s="41"/>
      <c r="J20" s="41"/>
      <c r="K20" s="43"/>
      <c r="L20" s="40"/>
      <c r="M20" s="41"/>
      <c r="N20" s="41"/>
      <c r="O20" s="41"/>
      <c r="P20" s="41"/>
      <c r="Q20" s="106"/>
      <c r="R20" s="41"/>
      <c r="S20" s="41"/>
      <c r="T20" s="41"/>
      <c r="U20" s="43"/>
      <c r="V20" s="106"/>
      <c r="W20" s="41"/>
      <c r="X20" s="41"/>
      <c r="Y20" s="41"/>
      <c r="Z20" s="43"/>
      <c r="AA20" s="22">
        <f t="shared" si="0"/>
        <v>0</v>
      </c>
      <c r="AB20" s="44">
        <f t="shared" si="1"/>
        <v>0</v>
      </c>
      <c r="AC20" s="45">
        <f t="shared" si="2"/>
        <v>0</v>
      </c>
      <c r="AD20" s="44">
        <f t="shared" si="3"/>
        <v>0</v>
      </c>
      <c r="AE20" s="25" t="str">
        <f t="shared" si="4"/>
        <v/>
      </c>
      <c r="AF20" s="1"/>
      <c r="AG20" s="1"/>
    </row>
    <row r="21" spans="1:33" ht="19.5" customHeight="1">
      <c r="A21" s="26">
        <v>10</v>
      </c>
      <c r="B21" s="262"/>
      <c r="C21" s="263"/>
      <c r="D21" s="264"/>
      <c r="E21" s="31"/>
      <c r="F21" s="33"/>
      <c r="G21" s="103"/>
      <c r="H21" s="31"/>
      <c r="I21" s="31"/>
      <c r="J21" s="31"/>
      <c r="K21" s="33"/>
      <c r="L21" s="30"/>
      <c r="M21" s="31"/>
      <c r="N21" s="31"/>
      <c r="O21" s="31"/>
      <c r="P21" s="31"/>
      <c r="Q21" s="103"/>
      <c r="R21" s="31"/>
      <c r="S21" s="31"/>
      <c r="T21" s="31"/>
      <c r="U21" s="33"/>
      <c r="V21" s="103"/>
      <c r="W21" s="31"/>
      <c r="X21" s="31"/>
      <c r="Y21" s="31"/>
      <c r="Z21" s="33"/>
      <c r="AA21" s="34">
        <f t="shared" si="0"/>
        <v>0</v>
      </c>
      <c r="AB21" s="35">
        <f t="shared" si="1"/>
        <v>0</v>
      </c>
      <c r="AC21" s="36">
        <f t="shared" si="2"/>
        <v>0</v>
      </c>
      <c r="AD21" s="35">
        <f t="shared" si="3"/>
        <v>0</v>
      </c>
      <c r="AE21" s="25" t="str">
        <f t="shared" si="4"/>
        <v/>
      </c>
      <c r="AF21" s="1"/>
      <c r="AG21" s="1"/>
    </row>
    <row r="22" spans="1:33" ht="19.5" customHeight="1">
      <c r="A22" s="37">
        <v>11</v>
      </c>
      <c r="B22" s="262"/>
      <c r="C22" s="263"/>
      <c r="D22" s="264"/>
      <c r="E22" s="41"/>
      <c r="F22" s="43"/>
      <c r="G22" s="106"/>
      <c r="H22" s="41"/>
      <c r="I22" s="41"/>
      <c r="J22" s="41"/>
      <c r="K22" s="43"/>
      <c r="L22" s="40"/>
      <c r="M22" s="41"/>
      <c r="N22" s="41"/>
      <c r="O22" s="41"/>
      <c r="P22" s="41"/>
      <c r="Q22" s="106"/>
      <c r="R22" s="41"/>
      <c r="S22" s="41"/>
      <c r="T22" s="41"/>
      <c r="U22" s="43"/>
      <c r="V22" s="106"/>
      <c r="W22" s="41"/>
      <c r="X22" s="41"/>
      <c r="Y22" s="41"/>
      <c r="Z22" s="43"/>
      <c r="AA22" s="22">
        <f t="shared" si="0"/>
        <v>0</v>
      </c>
      <c r="AB22" s="44">
        <f t="shared" si="1"/>
        <v>0</v>
      </c>
      <c r="AC22" s="45">
        <f t="shared" si="2"/>
        <v>0</v>
      </c>
      <c r="AD22" s="44">
        <f t="shared" si="3"/>
        <v>0</v>
      </c>
      <c r="AE22" s="25" t="str">
        <f t="shared" si="4"/>
        <v/>
      </c>
      <c r="AF22" s="1"/>
      <c r="AG22" s="1"/>
    </row>
    <row r="23" spans="1:33" ht="19.5" customHeight="1">
      <c r="A23" s="26">
        <v>12</v>
      </c>
      <c r="B23" s="262"/>
      <c r="C23" s="263"/>
      <c r="D23" s="264"/>
      <c r="E23" s="31"/>
      <c r="F23" s="33"/>
      <c r="G23" s="103"/>
      <c r="H23" s="31"/>
      <c r="I23" s="31"/>
      <c r="J23" s="31"/>
      <c r="K23" s="33"/>
      <c r="L23" s="30"/>
      <c r="M23" s="31"/>
      <c r="N23" s="31"/>
      <c r="O23" s="31"/>
      <c r="P23" s="31"/>
      <c r="Q23" s="103"/>
      <c r="R23" s="31"/>
      <c r="S23" s="31"/>
      <c r="T23" s="31"/>
      <c r="U23" s="33"/>
      <c r="V23" s="103"/>
      <c r="W23" s="31"/>
      <c r="X23" s="31"/>
      <c r="Y23" s="31"/>
      <c r="Z23" s="33"/>
      <c r="AA23" s="34">
        <f t="shared" si="0"/>
        <v>0</v>
      </c>
      <c r="AB23" s="35">
        <f t="shared" si="1"/>
        <v>0</v>
      </c>
      <c r="AC23" s="36">
        <f t="shared" si="2"/>
        <v>0</v>
      </c>
      <c r="AD23" s="35">
        <f t="shared" si="3"/>
        <v>0</v>
      </c>
      <c r="AE23" s="25" t="str">
        <f t="shared" si="4"/>
        <v/>
      </c>
      <c r="AF23" s="1"/>
      <c r="AG23" s="1"/>
    </row>
    <row r="24" spans="1:33" ht="19.5" customHeight="1">
      <c r="A24" s="37">
        <v>13</v>
      </c>
      <c r="B24" s="262"/>
      <c r="C24" s="263"/>
      <c r="D24" s="264"/>
      <c r="E24" s="41"/>
      <c r="F24" s="43"/>
      <c r="G24" s="106"/>
      <c r="H24" s="41"/>
      <c r="I24" s="41"/>
      <c r="J24" s="41"/>
      <c r="K24" s="43"/>
      <c r="L24" s="40"/>
      <c r="M24" s="41"/>
      <c r="N24" s="41"/>
      <c r="O24" s="41"/>
      <c r="P24" s="41"/>
      <c r="Q24" s="106"/>
      <c r="R24" s="41"/>
      <c r="S24" s="41"/>
      <c r="T24" s="41"/>
      <c r="U24" s="43"/>
      <c r="V24" s="106"/>
      <c r="W24" s="41"/>
      <c r="X24" s="41"/>
      <c r="Y24" s="41"/>
      <c r="Z24" s="43"/>
      <c r="AA24" s="22">
        <f t="shared" si="0"/>
        <v>0</v>
      </c>
      <c r="AB24" s="44">
        <f t="shared" si="1"/>
        <v>0</v>
      </c>
      <c r="AC24" s="45">
        <f t="shared" si="2"/>
        <v>0</v>
      </c>
      <c r="AD24" s="44">
        <f t="shared" si="3"/>
        <v>0</v>
      </c>
      <c r="AE24" s="25" t="str">
        <f t="shared" si="4"/>
        <v/>
      </c>
      <c r="AF24" s="1"/>
      <c r="AG24" s="1"/>
    </row>
    <row r="25" spans="1:33" ht="19.5" customHeight="1">
      <c r="A25" s="26">
        <v>14</v>
      </c>
      <c r="B25" s="265"/>
      <c r="C25" s="263"/>
      <c r="D25" s="264"/>
      <c r="E25" s="31"/>
      <c r="F25" s="33"/>
      <c r="G25" s="103"/>
      <c r="H25" s="31"/>
      <c r="I25" s="31"/>
      <c r="J25" s="31"/>
      <c r="K25" s="33"/>
      <c r="L25" s="30"/>
      <c r="M25" s="31"/>
      <c r="N25" s="31"/>
      <c r="O25" s="31"/>
      <c r="P25" s="31"/>
      <c r="Q25" s="103"/>
      <c r="R25" s="31"/>
      <c r="S25" s="31"/>
      <c r="T25" s="31"/>
      <c r="U25" s="33"/>
      <c r="V25" s="103"/>
      <c r="W25" s="31"/>
      <c r="X25" s="31"/>
      <c r="Y25" s="31"/>
      <c r="Z25" s="33"/>
      <c r="AA25" s="34">
        <f t="shared" si="0"/>
        <v>0</v>
      </c>
      <c r="AB25" s="35">
        <f t="shared" si="1"/>
        <v>0</v>
      </c>
      <c r="AC25" s="36">
        <f t="shared" si="2"/>
        <v>0</v>
      </c>
      <c r="AD25" s="35">
        <f t="shared" si="3"/>
        <v>0</v>
      </c>
      <c r="AE25" s="25" t="str">
        <f t="shared" si="4"/>
        <v/>
      </c>
      <c r="AF25" s="1"/>
      <c r="AG25" s="1"/>
    </row>
    <row r="26" spans="1:33" ht="19.5" customHeight="1">
      <c r="A26" s="37">
        <v>15</v>
      </c>
      <c r="B26" s="265"/>
      <c r="C26" s="263"/>
      <c r="D26" s="264"/>
      <c r="E26" s="41"/>
      <c r="F26" s="43"/>
      <c r="G26" s="106"/>
      <c r="H26" s="41"/>
      <c r="I26" s="41"/>
      <c r="J26" s="41"/>
      <c r="K26" s="43"/>
      <c r="L26" s="40"/>
      <c r="M26" s="41"/>
      <c r="N26" s="41"/>
      <c r="O26" s="41"/>
      <c r="P26" s="41"/>
      <c r="Q26" s="106"/>
      <c r="R26" s="41"/>
      <c r="S26" s="41"/>
      <c r="T26" s="41"/>
      <c r="U26" s="43"/>
      <c r="V26" s="106"/>
      <c r="W26" s="41"/>
      <c r="X26" s="41"/>
      <c r="Y26" s="41"/>
      <c r="Z26" s="43"/>
      <c r="AA26" s="22">
        <f t="shared" si="0"/>
        <v>0</v>
      </c>
      <c r="AB26" s="44">
        <f t="shared" si="1"/>
        <v>0</v>
      </c>
      <c r="AC26" s="45">
        <f t="shared" si="2"/>
        <v>0</v>
      </c>
      <c r="AD26" s="44">
        <f t="shared" si="3"/>
        <v>0</v>
      </c>
      <c r="AE26" s="25" t="str">
        <f t="shared" si="4"/>
        <v/>
      </c>
      <c r="AF26" s="1"/>
      <c r="AG26" s="107"/>
    </row>
    <row r="27" spans="1:33" ht="19.5" customHeight="1">
      <c r="A27" s="26">
        <v>16</v>
      </c>
      <c r="B27" s="265"/>
      <c r="C27" s="263"/>
      <c r="D27" s="264"/>
      <c r="E27" s="31"/>
      <c r="F27" s="33"/>
      <c r="G27" s="103"/>
      <c r="H27" s="31"/>
      <c r="I27" s="31"/>
      <c r="J27" s="31"/>
      <c r="K27" s="33"/>
      <c r="L27" s="30"/>
      <c r="M27" s="31"/>
      <c r="N27" s="31"/>
      <c r="O27" s="31"/>
      <c r="P27" s="31"/>
      <c r="Q27" s="103"/>
      <c r="R27" s="31"/>
      <c r="S27" s="31"/>
      <c r="T27" s="31"/>
      <c r="U27" s="33"/>
      <c r="V27" s="103"/>
      <c r="W27" s="31"/>
      <c r="X27" s="31"/>
      <c r="Y27" s="31"/>
      <c r="Z27" s="33"/>
      <c r="AA27" s="34">
        <f t="shared" si="0"/>
        <v>0</v>
      </c>
      <c r="AB27" s="35">
        <f t="shared" si="1"/>
        <v>0</v>
      </c>
      <c r="AC27" s="36">
        <f t="shared" si="2"/>
        <v>0</v>
      </c>
      <c r="AD27" s="35">
        <f t="shared" si="3"/>
        <v>0</v>
      </c>
      <c r="AE27" s="25" t="str">
        <f t="shared" si="4"/>
        <v/>
      </c>
      <c r="AF27" s="1"/>
      <c r="AG27" s="1"/>
    </row>
    <row r="28" spans="1:33" ht="19.5" customHeight="1">
      <c r="A28" s="37">
        <v>17</v>
      </c>
      <c r="B28" s="265"/>
      <c r="C28" s="263"/>
      <c r="D28" s="264"/>
      <c r="E28" s="41"/>
      <c r="F28" s="43"/>
      <c r="G28" s="106"/>
      <c r="H28" s="41"/>
      <c r="I28" s="41"/>
      <c r="J28" s="41"/>
      <c r="K28" s="43"/>
      <c r="L28" s="40"/>
      <c r="M28" s="41"/>
      <c r="N28" s="41"/>
      <c r="O28" s="41"/>
      <c r="P28" s="41"/>
      <c r="Q28" s="106"/>
      <c r="R28" s="41"/>
      <c r="S28" s="41"/>
      <c r="T28" s="41"/>
      <c r="U28" s="43"/>
      <c r="V28" s="106"/>
      <c r="W28" s="41"/>
      <c r="X28" s="41"/>
      <c r="Y28" s="41"/>
      <c r="Z28" s="43"/>
      <c r="AA28" s="22">
        <f t="shared" si="0"/>
        <v>0</v>
      </c>
      <c r="AB28" s="44">
        <f t="shared" si="1"/>
        <v>0</v>
      </c>
      <c r="AC28" s="45">
        <f t="shared" si="2"/>
        <v>0</v>
      </c>
      <c r="AD28" s="44">
        <f t="shared" si="3"/>
        <v>0</v>
      </c>
      <c r="AE28" s="25" t="str">
        <f t="shared" si="4"/>
        <v/>
      </c>
      <c r="AF28" s="1"/>
      <c r="AG28" s="1"/>
    </row>
    <row r="29" spans="1:33" ht="19.5" customHeight="1">
      <c r="A29" s="26">
        <v>18</v>
      </c>
      <c r="B29" s="262"/>
      <c r="C29" s="263"/>
      <c r="D29" s="264"/>
      <c r="E29" s="31"/>
      <c r="F29" s="33"/>
      <c r="G29" s="103"/>
      <c r="H29" s="31"/>
      <c r="I29" s="31"/>
      <c r="J29" s="31"/>
      <c r="K29" s="33"/>
      <c r="L29" s="30"/>
      <c r="M29" s="31"/>
      <c r="N29" s="31"/>
      <c r="O29" s="31"/>
      <c r="P29" s="31"/>
      <c r="Q29" s="103"/>
      <c r="R29" s="31"/>
      <c r="S29" s="31"/>
      <c r="T29" s="31"/>
      <c r="U29" s="33"/>
      <c r="V29" s="103"/>
      <c r="W29" s="31"/>
      <c r="X29" s="31"/>
      <c r="Y29" s="31"/>
      <c r="Z29" s="33"/>
      <c r="AA29" s="34">
        <f t="shared" si="0"/>
        <v>0</v>
      </c>
      <c r="AB29" s="35">
        <f t="shared" si="1"/>
        <v>0</v>
      </c>
      <c r="AC29" s="36">
        <f t="shared" si="2"/>
        <v>0</v>
      </c>
      <c r="AD29" s="35">
        <f t="shared" si="3"/>
        <v>0</v>
      </c>
      <c r="AE29" s="25" t="str">
        <f t="shared" si="4"/>
        <v/>
      </c>
      <c r="AF29" s="1"/>
      <c r="AG29" s="1"/>
    </row>
    <row r="30" spans="1:33" ht="19.5" customHeight="1">
      <c r="A30" s="37">
        <v>19</v>
      </c>
      <c r="B30" s="265"/>
      <c r="C30" s="263"/>
      <c r="D30" s="264"/>
      <c r="E30" s="41"/>
      <c r="F30" s="43"/>
      <c r="G30" s="106"/>
      <c r="H30" s="41"/>
      <c r="I30" s="41"/>
      <c r="J30" s="41"/>
      <c r="K30" s="43"/>
      <c r="L30" s="40"/>
      <c r="M30" s="41"/>
      <c r="N30" s="41"/>
      <c r="O30" s="41"/>
      <c r="P30" s="41"/>
      <c r="Q30" s="106"/>
      <c r="R30" s="41"/>
      <c r="S30" s="41"/>
      <c r="T30" s="41"/>
      <c r="U30" s="43"/>
      <c r="V30" s="106"/>
      <c r="W30" s="41"/>
      <c r="X30" s="41"/>
      <c r="Y30" s="41"/>
      <c r="Z30" s="43"/>
      <c r="AA30" s="22">
        <f t="shared" si="0"/>
        <v>0</v>
      </c>
      <c r="AB30" s="44">
        <f t="shared" si="1"/>
        <v>0</v>
      </c>
      <c r="AC30" s="45">
        <f t="shared" si="2"/>
        <v>0</v>
      </c>
      <c r="AD30" s="44">
        <f t="shared" si="3"/>
        <v>0</v>
      </c>
      <c r="AE30" s="25" t="str">
        <f t="shared" si="4"/>
        <v/>
      </c>
      <c r="AF30" s="1"/>
      <c r="AG30" s="1"/>
    </row>
    <row r="31" spans="1:33" ht="19.5" customHeight="1">
      <c r="A31" s="26">
        <v>20</v>
      </c>
      <c r="B31" s="265"/>
      <c r="C31" s="263"/>
      <c r="D31" s="264"/>
      <c r="E31" s="31"/>
      <c r="F31" s="33"/>
      <c r="G31" s="103"/>
      <c r="H31" s="31"/>
      <c r="I31" s="31"/>
      <c r="J31" s="31"/>
      <c r="K31" s="33"/>
      <c r="L31" s="30"/>
      <c r="M31" s="31"/>
      <c r="N31" s="31"/>
      <c r="O31" s="31"/>
      <c r="P31" s="31"/>
      <c r="Q31" s="103"/>
      <c r="R31" s="31"/>
      <c r="S31" s="31"/>
      <c r="T31" s="31"/>
      <c r="U31" s="33"/>
      <c r="V31" s="103"/>
      <c r="W31" s="31"/>
      <c r="X31" s="31"/>
      <c r="Y31" s="31"/>
      <c r="Z31" s="33"/>
      <c r="AA31" s="34">
        <f t="shared" si="0"/>
        <v>0</v>
      </c>
      <c r="AB31" s="35">
        <f t="shared" si="1"/>
        <v>0</v>
      </c>
      <c r="AC31" s="36">
        <f t="shared" si="2"/>
        <v>0</v>
      </c>
      <c r="AD31" s="35">
        <f t="shared" si="3"/>
        <v>0</v>
      </c>
      <c r="AE31" s="25" t="str">
        <f t="shared" si="4"/>
        <v/>
      </c>
      <c r="AF31" s="1"/>
      <c r="AG31" s="1"/>
    </row>
    <row r="32" spans="1:33" ht="19.5" customHeight="1">
      <c r="A32" s="37">
        <v>21</v>
      </c>
      <c r="B32" s="262"/>
      <c r="C32" s="263"/>
      <c r="D32" s="264"/>
      <c r="E32" s="41"/>
      <c r="F32" s="43"/>
      <c r="G32" s="106"/>
      <c r="H32" s="41"/>
      <c r="I32" s="41"/>
      <c r="J32" s="41"/>
      <c r="K32" s="43"/>
      <c r="L32" s="40"/>
      <c r="M32" s="41"/>
      <c r="N32" s="41"/>
      <c r="O32" s="41"/>
      <c r="P32" s="41"/>
      <c r="Q32" s="106"/>
      <c r="R32" s="41"/>
      <c r="S32" s="41"/>
      <c r="T32" s="41"/>
      <c r="U32" s="43"/>
      <c r="V32" s="106"/>
      <c r="W32" s="41"/>
      <c r="X32" s="41"/>
      <c r="Y32" s="41"/>
      <c r="Z32" s="43"/>
      <c r="AA32" s="22">
        <f t="shared" si="0"/>
        <v>0</v>
      </c>
      <c r="AB32" s="44">
        <f t="shared" si="1"/>
        <v>0</v>
      </c>
      <c r="AC32" s="45">
        <f t="shared" si="2"/>
        <v>0</v>
      </c>
      <c r="AD32" s="44">
        <f t="shared" si="3"/>
        <v>0</v>
      </c>
      <c r="AE32" s="25" t="str">
        <f t="shared" si="4"/>
        <v/>
      </c>
      <c r="AF32" s="1"/>
      <c r="AG32" s="1"/>
    </row>
    <row r="33" spans="1:33" ht="19.5" customHeight="1">
      <c r="A33" s="26">
        <v>22</v>
      </c>
      <c r="B33" s="262"/>
      <c r="C33" s="263"/>
      <c r="D33" s="264"/>
      <c r="E33" s="31"/>
      <c r="F33" s="33"/>
      <c r="G33" s="103"/>
      <c r="H33" s="31"/>
      <c r="I33" s="31"/>
      <c r="J33" s="31"/>
      <c r="K33" s="33"/>
      <c r="L33" s="30"/>
      <c r="M33" s="31"/>
      <c r="N33" s="31"/>
      <c r="O33" s="31"/>
      <c r="P33" s="31"/>
      <c r="Q33" s="103"/>
      <c r="R33" s="31"/>
      <c r="S33" s="31"/>
      <c r="T33" s="31"/>
      <c r="U33" s="33"/>
      <c r="V33" s="103"/>
      <c r="W33" s="31"/>
      <c r="X33" s="31"/>
      <c r="Y33" s="31"/>
      <c r="Z33" s="33"/>
      <c r="AA33" s="34">
        <f t="shared" si="0"/>
        <v>0</v>
      </c>
      <c r="AB33" s="35">
        <f t="shared" si="1"/>
        <v>0</v>
      </c>
      <c r="AC33" s="36">
        <f t="shared" si="2"/>
        <v>0</v>
      </c>
      <c r="AD33" s="35">
        <f t="shared" si="3"/>
        <v>0</v>
      </c>
      <c r="AE33" s="25" t="str">
        <f t="shared" si="4"/>
        <v/>
      </c>
      <c r="AF33" s="1"/>
      <c r="AG33" s="1"/>
    </row>
    <row r="34" spans="1:33" ht="19.5" customHeight="1">
      <c r="A34" s="37">
        <v>23</v>
      </c>
      <c r="B34" s="265"/>
      <c r="C34" s="263"/>
      <c r="D34" s="264"/>
      <c r="E34" s="41"/>
      <c r="F34" s="43"/>
      <c r="G34" s="106"/>
      <c r="H34" s="41"/>
      <c r="I34" s="41"/>
      <c r="J34" s="41"/>
      <c r="K34" s="43"/>
      <c r="L34" s="40"/>
      <c r="M34" s="41"/>
      <c r="N34" s="41"/>
      <c r="O34" s="41"/>
      <c r="P34" s="41"/>
      <c r="Q34" s="106"/>
      <c r="R34" s="41"/>
      <c r="S34" s="41"/>
      <c r="T34" s="41"/>
      <c r="U34" s="43"/>
      <c r="V34" s="106"/>
      <c r="W34" s="41"/>
      <c r="X34" s="41"/>
      <c r="Y34" s="41"/>
      <c r="Z34" s="43"/>
      <c r="AA34" s="22">
        <f t="shared" si="0"/>
        <v>0</v>
      </c>
      <c r="AB34" s="44">
        <f t="shared" si="1"/>
        <v>0</v>
      </c>
      <c r="AC34" s="45">
        <f t="shared" si="2"/>
        <v>0</v>
      </c>
      <c r="AD34" s="44">
        <f t="shared" si="3"/>
        <v>0</v>
      </c>
      <c r="AE34" s="25" t="str">
        <f t="shared" si="4"/>
        <v/>
      </c>
      <c r="AF34" s="1"/>
      <c r="AG34" s="1"/>
    </row>
    <row r="35" spans="1:33" ht="19.5" customHeight="1">
      <c r="A35" s="26">
        <v>24</v>
      </c>
      <c r="B35" s="265"/>
      <c r="C35" s="263"/>
      <c r="D35" s="264"/>
      <c r="E35" s="31"/>
      <c r="F35" s="33"/>
      <c r="G35" s="103"/>
      <c r="H35" s="31"/>
      <c r="I35" s="31"/>
      <c r="J35" s="31"/>
      <c r="K35" s="33"/>
      <c r="L35" s="30"/>
      <c r="M35" s="31"/>
      <c r="N35" s="31"/>
      <c r="O35" s="31"/>
      <c r="P35" s="31"/>
      <c r="Q35" s="103"/>
      <c r="R35" s="31"/>
      <c r="S35" s="31"/>
      <c r="T35" s="31"/>
      <c r="U35" s="33"/>
      <c r="V35" s="103"/>
      <c r="W35" s="31"/>
      <c r="X35" s="31"/>
      <c r="Y35" s="31"/>
      <c r="Z35" s="33"/>
      <c r="AA35" s="34">
        <f t="shared" si="0"/>
        <v>0</v>
      </c>
      <c r="AB35" s="35">
        <f t="shared" si="1"/>
        <v>0</v>
      </c>
      <c r="AC35" s="36">
        <f t="shared" si="2"/>
        <v>0</v>
      </c>
      <c r="AD35" s="35">
        <f t="shared" si="3"/>
        <v>0</v>
      </c>
      <c r="AE35" s="25" t="str">
        <f t="shared" si="4"/>
        <v/>
      </c>
      <c r="AF35" s="1"/>
      <c r="AG35" s="1"/>
    </row>
    <row r="36" spans="1:33" ht="19.5" customHeight="1">
      <c r="A36" s="37">
        <v>25</v>
      </c>
      <c r="B36" s="262"/>
      <c r="C36" s="263"/>
      <c r="D36" s="264"/>
      <c r="E36" s="41"/>
      <c r="F36" s="43"/>
      <c r="G36" s="106"/>
      <c r="H36" s="41"/>
      <c r="I36" s="41"/>
      <c r="J36" s="41"/>
      <c r="K36" s="43"/>
      <c r="L36" s="40"/>
      <c r="M36" s="41"/>
      <c r="N36" s="41"/>
      <c r="O36" s="41"/>
      <c r="P36" s="41"/>
      <c r="Q36" s="106"/>
      <c r="R36" s="41"/>
      <c r="S36" s="41"/>
      <c r="T36" s="41"/>
      <c r="U36" s="43"/>
      <c r="V36" s="106"/>
      <c r="W36" s="41"/>
      <c r="X36" s="41"/>
      <c r="Y36" s="41"/>
      <c r="Z36" s="43"/>
      <c r="AA36" s="22">
        <f t="shared" si="0"/>
        <v>0</v>
      </c>
      <c r="AB36" s="44">
        <f t="shared" si="1"/>
        <v>0</v>
      </c>
      <c r="AC36" s="45">
        <f t="shared" si="2"/>
        <v>0</v>
      </c>
      <c r="AD36" s="44">
        <f t="shared" si="3"/>
        <v>0</v>
      </c>
      <c r="AE36" s="25" t="str">
        <f t="shared" si="4"/>
        <v/>
      </c>
      <c r="AF36" s="1"/>
      <c r="AG36" s="1"/>
    </row>
    <row r="37" spans="1:33" ht="19.5" customHeight="1">
      <c r="A37" s="26">
        <v>26</v>
      </c>
      <c r="B37" s="265"/>
      <c r="C37" s="263"/>
      <c r="D37" s="264"/>
      <c r="E37" s="31"/>
      <c r="F37" s="33"/>
      <c r="G37" s="103"/>
      <c r="H37" s="31"/>
      <c r="I37" s="31"/>
      <c r="J37" s="31"/>
      <c r="K37" s="33"/>
      <c r="L37" s="30"/>
      <c r="M37" s="31"/>
      <c r="N37" s="31"/>
      <c r="O37" s="31"/>
      <c r="P37" s="31"/>
      <c r="Q37" s="103"/>
      <c r="R37" s="31"/>
      <c r="S37" s="31"/>
      <c r="T37" s="31"/>
      <c r="U37" s="33"/>
      <c r="V37" s="103"/>
      <c r="W37" s="31"/>
      <c r="X37" s="31"/>
      <c r="Y37" s="31"/>
      <c r="Z37" s="33"/>
      <c r="AA37" s="34">
        <f t="shared" si="0"/>
        <v>0</v>
      </c>
      <c r="AB37" s="35">
        <f t="shared" si="1"/>
        <v>0</v>
      </c>
      <c r="AC37" s="36">
        <f t="shared" si="2"/>
        <v>0</v>
      </c>
      <c r="AD37" s="35">
        <f t="shared" si="3"/>
        <v>0</v>
      </c>
      <c r="AE37" s="25" t="str">
        <f t="shared" si="4"/>
        <v/>
      </c>
      <c r="AF37" s="1"/>
      <c r="AG37" s="1"/>
    </row>
    <row r="38" spans="1:33" ht="19.5" customHeight="1">
      <c r="A38" s="37">
        <v>27</v>
      </c>
      <c r="B38" s="265"/>
      <c r="C38" s="263"/>
      <c r="D38" s="264"/>
      <c r="E38" s="41"/>
      <c r="F38" s="43"/>
      <c r="G38" s="106"/>
      <c r="H38" s="41"/>
      <c r="I38" s="41"/>
      <c r="J38" s="41"/>
      <c r="K38" s="43"/>
      <c r="L38" s="40"/>
      <c r="M38" s="41"/>
      <c r="N38" s="41"/>
      <c r="O38" s="41"/>
      <c r="P38" s="41"/>
      <c r="Q38" s="106"/>
      <c r="R38" s="41"/>
      <c r="S38" s="41"/>
      <c r="T38" s="41"/>
      <c r="U38" s="43"/>
      <c r="V38" s="106"/>
      <c r="W38" s="41"/>
      <c r="X38" s="41"/>
      <c r="Y38" s="41"/>
      <c r="Z38" s="43"/>
      <c r="AA38" s="22">
        <f t="shared" si="0"/>
        <v>0</v>
      </c>
      <c r="AB38" s="44">
        <f t="shared" si="1"/>
        <v>0</v>
      </c>
      <c r="AC38" s="45">
        <f t="shared" si="2"/>
        <v>0</v>
      </c>
      <c r="AD38" s="44">
        <f t="shared" si="3"/>
        <v>0</v>
      </c>
      <c r="AE38" s="25" t="str">
        <f t="shared" si="4"/>
        <v/>
      </c>
      <c r="AF38" s="1"/>
      <c r="AG38" s="1"/>
    </row>
    <row r="39" spans="1:33" ht="19.5" customHeight="1">
      <c r="A39" s="26">
        <v>28</v>
      </c>
      <c r="B39" s="265"/>
      <c r="C39" s="263"/>
      <c r="D39" s="264"/>
      <c r="E39" s="31"/>
      <c r="F39" s="33"/>
      <c r="G39" s="103"/>
      <c r="H39" s="31"/>
      <c r="I39" s="31"/>
      <c r="J39" s="31"/>
      <c r="K39" s="33"/>
      <c r="L39" s="30"/>
      <c r="M39" s="31"/>
      <c r="N39" s="31"/>
      <c r="O39" s="31"/>
      <c r="P39" s="31"/>
      <c r="Q39" s="103"/>
      <c r="R39" s="31"/>
      <c r="S39" s="31"/>
      <c r="T39" s="31"/>
      <c r="U39" s="33"/>
      <c r="V39" s="103"/>
      <c r="W39" s="31"/>
      <c r="X39" s="31"/>
      <c r="Y39" s="31"/>
      <c r="Z39" s="33"/>
      <c r="AA39" s="34">
        <f t="shared" si="0"/>
        <v>0</v>
      </c>
      <c r="AB39" s="35">
        <f t="shared" si="1"/>
        <v>0</v>
      </c>
      <c r="AC39" s="36">
        <f t="shared" si="2"/>
        <v>0</v>
      </c>
      <c r="AD39" s="35">
        <f t="shared" si="3"/>
        <v>0</v>
      </c>
      <c r="AE39" s="25" t="str">
        <f t="shared" si="4"/>
        <v/>
      </c>
      <c r="AF39" s="1"/>
      <c r="AG39" s="1"/>
    </row>
    <row r="40" spans="1:33" ht="19.5" customHeight="1">
      <c r="A40" s="37">
        <v>29</v>
      </c>
      <c r="B40" s="265"/>
      <c r="C40" s="263"/>
      <c r="D40" s="264"/>
      <c r="E40" s="41"/>
      <c r="F40" s="43"/>
      <c r="G40" s="106"/>
      <c r="H40" s="41"/>
      <c r="I40" s="41"/>
      <c r="J40" s="41"/>
      <c r="K40" s="43"/>
      <c r="L40" s="40"/>
      <c r="M40" s="41"/>
      <c r="N40" s="41"/>
      <c r="O40" s="41"/>
      <c r="P40" s="41"/>
      <c r="Q40" s="106"/>
      <c r="R40" s="41"/>
      <c r="S40" s="41"/>
      <c r="T40" s="41"/>
      <c r="U40" s="43"/>
      <c r="V40" s="106"/>
      <c r="W40" s="41"/>
      <c r="X40" s="41"/>
      <c r="Y40" s="41"/>
      <c r="Z40" s="43"/>
      <c r="AA40" s="22">
        <f t="shared" si="0"/>
        <v>0</v>
      </c>
      <c r="AB40" s="44">
        <f t="shared" si="1"/>
        <v>0</v>
      </c>
      <c r="AC40" s="45">
        <f t="shared" si="2"/>
        <v>0</v>
      </c>
      <c r="AD40" s="44">
        <f t="shared" si="3"/>
        <v>0</v>
      </c>
      <c r="AE40" s="25" t="str">
        <f t="shared" si="4"/>
        <v/>
      </c>
      <c r="AF40" s="1"/>
      <c r="AG40" s="1"/>
    </row>
    <row r="41" spans="1:33" ht="19.5" customHeight="1">
      <c r="A41" s="26">
        <v>30</v>
      </c>
      <c r="B41" s="262"/>
      <c r="C41" s="263"/>
      <c r="D41" s="264"/>
      <c r="E41" s="31"/>
      <c r="F41" s="33"/>
      <c r="G41" s="103"/>
      <c r="H41" s="31"/>
      <c r="I41" s="31"/>
      <c r="J41" s="31"/>
      <c r="K41" s="33"/>
      <c r="L41" s="30"/>
      <c r="M41" s="31"/>
      <c r="N41" s="31"/>
      <c r="O41" s="31"/>
      <c r="P41" s="31"/>
      <c r="Q41" s="103"/>
      <c r="R41" s="31"/>
      <c r="S41" s="31"/>
      <c r="T41" s="31"/>
      <c r="U41" s="33"/>
      <c r="V41" s="103"/>
      <c r="W41" s="31"/>
      <c r="X41" s="31"/>
      <c r="Y41" s="31"/>
      <c r="Z41" s="33"/>
      <c r="AA41" s="34">
        <f t="shared" si="0"/>
        <v>0</v>
      </c>
      <c r="AB41" s="35">
        <f t="shared" si="1"/>
        <v>0</v>
      </c>
      <c r="AC41" s="36">
        <f t="shared" si="2"/>
        <v>0</v>
      </c>
      <c r="AD41" s="35">
        <f t="shared" si="3"/>
        <v>0</v>
      </c>
      <c r="AE41" s="25" t="str">
        <f t="shared" si="4"/>
        <v/>
      </c>
      <c r="AF41" s="1"/>
      <c r="AG41" s="1"/>
    </row>
    <row r="42" spans="1:33" ht="19.5" customHeight="1">
      <c r="A42" s="37">
        <v>31</v>
      </c>
      <c r="B42" s="46"/>
      <c r="C42" s="106"/>
      <c r="D42" s="41"/>
      <c r="E42" s="41"/>
      <c r="F42" s="43"/>
      <c r="G42" s="106"/>
      <c r="H42" s="41"/>
      <c r="I42" s="41"/>
      <c r="J42" s="41"/>
      <c r="K42" s="43"/>
      <c r="L42" s="40"/>
      <c r="M42" s="41"/>
      <c r="N42" s="41"/>
      <c r="O42" s="41"/>
      <c r="P42" s="41"/>
      <c r="Q42" s="106"/>
      <c r="R42" s="41"/>
      <c r="S42" s="41"/>
      <c r="T42" s="41"/>
      <c r="U42" s="43"/>
      <c r="V42" s="106"/>
      <c r="W42" s="41"/>
      <c r="X42" s="41"/>
      <c r="Y42" s="41"/>
      <c r="Z42" s="43"/>
      <c r="AA42" s="22">
        <f t="shared" si="0"/>
        <v>0</v>
      </c>
      <c r="AB42" s="44">
        <f t="shared" si="1"/>
        <v>0</v>
      </c>
      <c r="AC42" s="45">
        <f t="shared" si="2"/>
        <v>0</v>
      </c>
      <c r="AD42" s="44">
        <f t="shared" si="3"/>
        <v>0</v>
      </c>
      <c r="AE42" s="25" t="str">
        <f t="shared" si="4"/>
        <v/>
      </c>
      <c r="AF42" s="1"/>
      <c r="AG42" s="1"/>
    </row>
    <row r="43" spans="1:33" ht="19.5" customHeight="1">
      <c r="A43" s="26">
        <v>32</v>
      </c>
      <c r="B43" s="27"/>
      <c r="C43" s="103"/>
      <c r="D43" s="31"/>
      <c r="E43" s="31"/>
      <c r="F43" s="33"/>
      <c r="G43" s="103"/>
      <c r="H43" s="31"/>
      <c r="I43" s="31"/>
      <c r="J43" s="31"/>
      <c r="K43" s="33"/>
      <c r="L43" s="30"/>
      <c r="M43" s="31"/>
      <c r="N43" s="31"/>
      <c r="O43" s="31"/>
      <c r="P43" s="31"/>
      <c r="Q43" s="103"/>
      <c r="R43" s="31"/>
      <c r="S43" s="31"/>
      <c r="T43" s="31"/>
      <c r="U43" s="33"/>
      <c r="V43" s="103"/>
      <c r="W43" s="31"/>
      <c r="X43" s="31"/>
      <c r="Y43" s="31"/>
      <c r="Z43" s="33"/>
      <c r="AA43" s="34">
        <f t="shared" si="0"/>
        <v>0</v>
      </c>
      <c r="AB43" s="35">
        <f t="shared" si="1"/>
        <v>0</v>
      </c>
      <c r="AC43" s="36">
        <f t="shared" si="2"/>
        <v>0</v>
      </c>
      <c r="AD43" s="35">
        <f t="shared" si="3"/>
        <v>0</v>
      </c>
      <c r="AE43" s="25" t="str">
        <f t="shared" si="4"/>
        <v/>
      </c>
      <c r="AF43" s="1"/>
      <c r="AG43" s="1"/>
    </row>
    <row r="44" spans="1:33" ht="19.5" customHeight="1">
      <c r="A44" s="37">
        <v>33</v>
      </c>
      <c r="B44" s="46"/>
      <c r="C44" s="106"/>
      <c r="D44" s="41"/>
      <c r="E44" s="41"/>
      <c r="F44" s="43"/>
      <c r="G44" s="106"/>
      <c r="H44" s="41"/>
      <c r="I44" s="41"/>
      <c r="J44" s="41"/>
      <c r="K44" s="43"/>
      <c r="L44" s="40"/>
      <c r="M44" s="41"/>
      <c r="N44" s="41"/>
      <c r="O44" s="41"/>
      <c r="P44" s="41"/>
      <c r="Q44" s="106"/>
      <c r="R44" s="41"/>
      <c r="S44" s="41"/>
      <c r="T44" s="41"/>
      <c r="U44" s="43"/>
      <c r="V44" s="106"/>
      <c r="W44" s="41"/>
      <c r="X44" s="41"/>
      <c r="Y44" s="41"/>
      <c r="Z44" s="43"/>
      <c r="AA44" s="22">
        <f t="shared" si="0"/>
        <v>0</v>
      </c>
      <c r="AB44" s="44">
        <f t="shared" si="1"/>
        <v>0</v>
      </c>
      <c r="AC44" s="45">
        <f t="shared" si="2"/>
        <v>0</v>
      </c>
      <c r="AD44" s="44">
        <f t="shared" si="3"/>
        <v>0</v>
      </c>
      <c r="AE44" s="25" t="str">
        <f t="shared" si="4"/>
        <v/>
      </c>
      <c r="AF44" s="1"/>
      <c r="AG44" s="1"/>
    </row>
    <row r="45" spans="1:33" ht="19.5" customHeight="1">
      <c r="A45" s="26">
        <v>34</v>
      </c>
      <c r="B45" s="27"/>
      <c r="C45" s="103"/>
      <c r="D45" s="31"/>
      <c r="E45" s="31"/>
      <c r="F45" s="33"/>
      <c r="G45" s="103"/>
      <c r="H45" s="31"/>
      <c r="I45" s="31"/>
      <c r="J45" s="31"/>
      <c r="K45" s="33"/>
      <c r="L45" s="30"/>
      <c r="M45" s="31"/>
      <c r="N45" s="31"/>
      <c r="O45" s="31"/>
      <c r="P45" s="31"/>
      <c r="Q45" s="103"/>
      <c r="R45" s="31"/>
      <c r="S45" s="31"/>
      <c r="T45" s="31"/>
      <c r="U45" s="33"/>
      <c r="V45" s="103"/>
      <c r="W45" s="31"/>
      <c r="X45" s="31"/>
      <c r="Y45" s="31"/>
      <c r="Z45" s="33"/>
      <c r="AA45" s="34">
        <f t="shared" si="0"/>
        <v>0</v>
      </c>
      <c r="AB45" s="35">
        <f t="shared" si="1"/>
        <v>0</v>
      </c>
      <c r="AC45" s="36">
        <f t="shared" si="2"/>
        <v>0</v>
      </c>
      <c r="AD45" s="35">
        <f t="shared" si="3"/>
        <v>0</v>
      </c>
      <c r="AE45" s="25" t="str">
        <f t="shared" si="4"/>
        <v/>
      </c>
      <c r="AF45" s="1"/>
      <c r="AG45" s="1"/>
    </row>
    <row r="46" spans="1:33" ht="19.5" customHeight="1">
      <c r="A46" s="37">
        <v>35</v>
      </c>
      <c r="B46" s="46"/>
      <c r="C46" s="106"/>
      <c r="D46" s="41"/>
      <c r="E46" s="41"/>
      <c r="F46" s="43"/>
      <c r="G46" s="106"/>
      <c r="H46" s="41"/>
      <c r="I46" s="41"/>
      <c r="J46" s="41"/>
      <c r="K46" s="43"/>
      <c r="L46" s="40"/>
      <c r="M46" s="41"/>
      <c r="N46" s="41"/>
      <c r="O46" s="41"/>
      <c r="P46" s="41"/>
      <c r="Q46" s="106"/>
      <c r="R46" s="41"/>
      <c r="S46" s="41"/>
      <c r="T46" s="41"/>
      <c r="U46" s="43"/>
      <c r="V46" s="106"/>
      <c r="W46" s="41"/>
      <c r="X46" s="41"/>
      <c r="Y46" s="41"/>
      <c r="Z46" s="43"/>
      <c r="AA46" s="22">
        <f t="shared" si="0"/>
        <v>0</v>
      </c>
      <c r="AB46" s="44">
        <f t="shared" si="1"/>
        <v>0</v>
      </c>
      <c r="AC46" s="45">
        <f t="shared" si="2"/>
        <v>0</v>
      </c>
      <c r="AD46" s="44">
        <f t="shared" si="3"/>
        <v>0</v>
      </c>
      <c r="AE46" s="25" t="str">
        <f t="shared" si="4"/>
        <v/>
      </c>
      <c r="AF46" s="1"/>
      <c r="AG46" s="1"/>
    </row>
    <row r="47" spans="1:33" ht="19.5" customHeight="1">
      <c r="A47" s="26">
        <v>36</v>
      </c>
      <c r="B47" s="27"/>
      <c r="C47" s="103"/>
      <c r="D47" s="31"/>
      <c r="E47" s="31"/>
      <c r="F47" s="33"/>
      <c r="G47" s="103"/>
      <c r="H47" s="31"/>
      <c r="I47" s="31"/>
      <c r="J47" s="31"/>
      <c r="K47" s="33"/>
      <c r="L47" s="30"/>
      <c r="M47" s="31"/>
      <c r="N47" s="31"/>
      <c r="O47" s="31"/>
      <c r="P47" s="31"/>
      <c r="Q47" s="103"/>
      <c r="R47" s="31"/>
      <c r="S47" s="31"/>
      <c r="T47" s="31"/>
      <c r="U47" s="33"/>
      <c r="V47" s="103"/>
      <c r="W47" s="31"/>
      <c r="X47" s="31"/>
      <c r="Y47" s="31"/>
      <c r="Z47" s="33"/>
      <c r="AA47" s="34">
        <f t="shared" si="0"/>
        <v>0</v>
      </c>
      <c r="AB47" s="35">
        <f t="shared" si="1"/>
        <v>0</v>
      </c>
      <c r="AC47" s="36">
        <f t="shared" si="2"/>
        <v>0</v>
      </c>
      <c r="AD47" s="35">
        <f t="shared" si="3"/>
        <v>0</v>
      </c>
      <c r="AE47" s="25" t="str">
        <f t="shared" si="4"/>
        <v/>
      </c>
      <c r="AF47" s="1"/>
      <c r="AG47" s="1"/>
    </row>
    <row r="48" spans="1:33" ht="19.5" customHeight="1">
      <c r="A48" s="37">
        <v>37</v>
      </c>
      <c r="B48" s="46"/>
      <c r="C48" s="106"/>
      <c r="D48" s="41"/>
      <c r="E48" s="41"/>
      <c r="F48" s="43"/>
      <c r="G48" s="106"/>
      <c r="H48" s="41"/>
      <c r="I48" s="41"/>
      <c r="J48" s="41"/>
      <c r="K48" s="43"/>
      <c r="L48" s="40"/>
      <c r="M48" s="41"/>
      <c r="N48" s="41"/>
      <c r="O48" s="41"/>
      <c r="P48" s="41"/>
      <c r="Q48" s="106"/>
      <c r="R48" s="41"/>
      <c r="S48" s="41"/>
      <c r="T48" s="41"/>
      <c r="U48" s="43"/>
      <c r="V48" s="106"/>
      <c r="W48" s="41"/>
      <c r="X48" s="41"/>
      <c r="Y48" s="41"/>
      <c r="Z48" s="43"/>
      <c r="AA48" s="22">
        <f t="shared" si="0"/>
        <v>0</v>
      </c>
      <c r="AB48" s="44">
        <f t="shared" si="1"/>
        <v>0</v>
      </c>
      <c r="AC48" s="45">
        <f t="shared" si="2"/>
        <v>0</v>
      </c>
      <c r="AD48" s="44">
        <f t="shared" si="3"/>
        <v>0</v>
      </c>
      <c r="AE48" s="25" t="str">
        <f t="shared" si="4"/>
        <v/>
      </c>
      <c r="AF48" s="1"/>
      <c r="AG48" s="1"/>
    </row>
    <row r="49" spans="1:33" ht="19.5" customHeight="1">
      <c r="A49" s="26">
        <v>38</v>
      </c>
      <c r="B49" s="27"/>
      <c r="C49" s="103"/>
      <c r="D49" s="31"/>
      <c r="E49" s="31"/>
      <c r="F49" s="33"/>
      <c r="G49" s="103"/>
      <c r="H49" s="31"/>
      <c r="I49" s="31"/>
      <c r="J49" s="31"/>
      <c r="K49" s="33"/>
      <c r="L49" s="30"/>
      <c r="M49" s="31"/>
      <c r="N49" s="31"/>
      <c r="O49" s="31"/>
      <c r="P49" s="31"/>
      <c r="Q49" s="103"/>
      <c r="R49" s="31"/>
      <c r="S49" s="31"/>
      <c r="T49" s="31"/>
      <c r="U49" s="33"/>
      <c r="V49" s="103"/>
      <c r="W49" s="31"/>
      <c r="X49" s="31"/>
      <c r="Y49" s="31"/>
      <c r="Z49" s="33"/>
      <c r="AA49" s="34">
        <f t="shared" si="0"/>
        <v>0</v>
      </c>
      <c r="AB49" s="35">
        <f t="shared" si="1"/>
        <v>0</v>
      </c>
      <c r="AC49" s="36">
        <f t="shared" si="2"/>
        <v>0</v>
      </c>
      <c r="AD49" s="35">
        <f t="shared" si="3"/>
        <v>0</v>
      </c>
      <c r="AE49" s="25" t="str">
        <f t="shared" si="4"/>
        <v/>
      </c>
      <c r="AF49" s="1"/>
      <c r="AG49" s="1"/>
    </row>
    <row r="50" spans="1:33" ht="19.5" customHeight="1">
      <c r="A50" s="37">
        <v>39</v>
      </c>
      <c r="B50" s="46"/>
      <c r="C50" s="106"/>
      <c r="D50" s="41"/>
      <c r="E50" s="41"/>
      <c r="F50" s="43"/>
      <c r="G50" s="106"/>
      <c r="H50" s="41"/>
      <c r="I50" s="41"/>
      <c r="J50" s="41"/>
      <c r="K50" s="43"/>
      <c r="L50" s="40"/>
      <c r="M50" s="41"/>
      <c r="N50" s="41"/>
      <c r="O50" s="41"/>
      <c r="P50" s="41"/>
      <c r="Q50" s="106"/>
      <c r="R50" s="41"/>
      <c r="S50" s="41"/>
      <c r="T50" s="41"/>
      <c r="U50" s="43"/>
      <c r="V50" s="106"/>
      <c r="W50" s="41"/>
      <c r="X50" s="41"/>
      <c r="Y50" s="41"/>
      <c r="Z50" s="43"/>
      <c r="AA50" s="22">
        <f t="shared" si="0"/>
        <v>0</v>
      </c>
      <c r="AB50" s="44">
        <f t="shared" si="1"/>
        <v>0</v>
      </c>
      <c r="AC50" s="45">
        <f t="shared" si="2"/>
        <v>0</v>
      </c>
      <c r="AD50" s="44">
        <f t="shared" si="3"/>
        <v>0</v>
      </c>
      <c r="AE50" s="25" t="str">
        <f t="shared" si="4"/>
        <v/>
      </c>
      <c r="AF50" s="1"/>
      <c r="AG50" s="1"/>
    </row>
    <row r="51" spans="1:33" ht="19.5" customHeight="1">
      <c r="A51" s="47">
        <v>40</v>
      </c>
      <c r="B51" s="48"/>
      <c r="C51" s="110"/>
      <c r="D51" s="51"/>
      <c r="E51" s="51"/>
      <c r="F51" s="53"/>
      <c r="G51" s="110"/>
      <c r="H51" s="51"/>
      <c r="I51" s="51"/>
      <c r="J51" s="51"/>
      <c r="K51" s="53"/>
      <c r="L51" s="50"/>
      <c r="M51" s="51"/>
      <c r="N51" s="51"/>
      <c r="O51" s="51"/>
      <c r="P51" s="51"/>
      <c r="Q51" s="110"/>
      <c r="R51" s="51"/>
      <c r="S51" s="51"/>
      <c r="T51" s="51"/>
      <c r="U51" s="53"/>
      <c r="V51" s="110"/>
      <c r="W51" s="51"/>
      <c r="X51" s="51"/>
      <c r="Y51" s="51"/>
      <c r="Z51" s="53"/>
      <c r="AA51" s="54">
        <f t="shared" si="0"/>
        <v>0</v>
      </c>
      <c r="AB51" s="55">
        <f t="shared" si="1"/>
        <v>0</v>
      </c>
      <c r="AC51" s="56">
        <f t="shared" si="2"/>
        <v>0</v>
      </c>
      <c r="AD51" s="55">
        <f t="shared" si="3"/>
        <v>0</v>
      </c>
      <c r="AE51" s="25" t="str">
        <f t="shared" si="4"/>
        <v/>
      </c>
      <c r="AF51" s="1"/>
      <c r="AG51" s="1"/>
    </row>
    <row r="52" spans="1:33" ht="27" customHeight="1">
      <c r="A52" s="171" t="s">
        <v>53</v>
      </c>
      <c r="B52" s="172"/>
      <c r="C52" s="111" t="s">
        <v>25</v>
      </c>
      <c r="D52" s="111" t="s">
        <v>26</v>
      </c>
      <c r="E52" s="111" t="s">
        <v>27</v>
      </c>
      <c r="F52" s="111" t="s">
        <v>29</v>
      </c>
      <c r="G52" s="111" t="s">
        <v>30</v>
      </c>
      <c r="H52" s="111" t="s">
        <v>31</v>
      </c>
      <c r="I52" s="111" t="s">
        <v>84</v>
      </c>
      <c r="J52" s="111" t="s">
        <v>85</v>
      </c>
      <c r="K52" s="111" t="s">
        <v>86</v>
      </c>
      <c r="L52" s="111" t="s">
        <v>87</v>
      </c>
      <c r="M52" s="111" t="s">
        <v>88</v>
      </c>
      <c r="N52" s="111" t="s">
        <v>89</v>
      </c>
      <c r="O52" s="111" t="s">
        <v>90</v>
      </c>
      <c r="P52" s="111" t="s">
        <v>91</v>
      </c>
      <c r="Q52" s="111" t="s">
        <v>92</v>
      </c>
      <c r="R52" s="111" t="s">
        <v>93</v>
      </c>
      <c r="S52" s="111" t="s">
        <v>94</v>
      </c>
      <c r="T52" s="111" t="s">
        <v>95</v>
      </c>
      <c r="U52" s="111" t="s">
        <v>96</v>
      </c>
      <c r="V52" s="111" t="s">
        <v>97</v>
      </c>
      <c r="W52" s="111" t="s">
        <v>98</v>
      </c>
      <c r="X52" s="111" t="s">
        <v>99</v>
      </c>
      <c r="Y52" s="111" t="s">
        <v>100</v>
      </c>
      <c r="Z52" s="152" t="s">
        <v>125</v>
      </c>
      <c r="AA52" s="1"/>
      <c r="AB52" s="1"/>
      <c r="AC52" s="248" t="s">
        <v>54</v>
      </c>
      <c r="AD52" s="249"/>
      <c r="AE52" s="250"/>
      <c r="AF52" s="1"/>
      <c r="AG52" s="1"/>
    </row>
    <row r="53" spans="1:33" ht="27" customHeight="1">
      <c r="A53" s="239" t="s">
        <v>20</v>
      </c>
      <c r="B53" s="235"/>
      <c r="C53" s="112" t="e">
        <f t="shared" ref="C53:Z53" si="5">COUNTIF(C12:C51,3)/COUNTA(C12:C51)*1</f>
        <v>#DIV/0!</v>
      </c>
      <c r="D53" s="112" t="e">
        <f t="shared" si="5"/>
        <v>#DIV/0!</v>
      </c>
      <c r="E53" s="112">
        <f t="shared" si="5"/>
        <v>0.66666666666666663</v>
      </c>
      <c r="F53" s="112">
        <f t="shared" si="5"/>
        <v>1</v>
      </c>
      <c r="G53" s="112">
        <f t="shared" si="5"/>
        <v>1</v>
      </c>
      <c r="H53" s="112">
        <f t="shared" si="5"/>
        <v>0.33333333333333331</v>
      </c>
      <c r="I53" s="112">
        <f t="shared" si="5"/>
        <v>0.5</v>
      </c>
      <c r="J53" s="112">
        <f t="shared" si="5"/>
        <v>0.5</v>
      </c>
      <c r="K53" s="112">
        <f t="shared" si="5"/>
        <v>0.5</v>
      </c>
      <c r="L53" s="112">
        <f t="shared" si="5"/>
        <v>0.5</v>
      </c>
      <c r="M53" s="112">
        <f t="shared" si="5"/>
        <v>1</v>
      </c>
      <c r="N53" s="112">
        <f t="shared" si="5"/>
        <v>0.5</v>
      </c>
      <c r="O53" s="112">
        <f t="shared" si="5"/>
        <v>0.5</v>
      </c>
      <c r="P53" s="112">
        <f t="shared" si="5"/>
        <v>1</v>
      </c>
      <c r="Q53" s="112">
        <f t="shared" si="5"/>
        <v>0.5</v>
      </c>
      <c r="R53" s="112">
        <f t="shared" si="5"/>
        <v>0</v>
      </c>
      <c r="S53" s="112">
        <f t="shared" si="5"/>
        <v>1</v>
      </c>
      <c r="T53" s="112">
        <f t="shared" si="5"/>
        <v>1</v>
      </c>
      <c r="U53" s="112">
        <f t="shared" si="5"/>
        <v>0.5</v>
      </c>
      <c r="V53" s="112">
        <f t="shared" si="5"/>
        <v>0.5</v>
      </c>
      <c r="W53" s="112">
        <f t="shared" si="5"/>
        <v>0.5</v>
      </c>
      <c r="X53" s="112">
        <f t="shared" si="5"/>
        <v>1</v>
      </c>
      <c r="Y53" s="112">
        <f t="shared" si="5"/>
        <v>0.5</v>
      </c>
      <c r="Z53" s="153">
        <f t="shared" si="5"/>
        <v>0.5</v>
      </c>
      <c r="AA53" s="1"/>
      <c r="AB53" s="1"/>
      <c r="AC53" s="212" t="s">
        <v>55</v>
      </c>
      <c r="AD53" s="213"/>
      <c r="AE53" s="217" t="s">
        <v>4</v>
      </c>
      <c r="AF53" s="221"/>
      <c r="AG53" s="61"/>
    </row>
    <row r="54" spans="1:33" ht="27" customHeight="1">
      <c r="A54" s="240" t="s">
        <v>21</v>
      </c>
      <c r="B54" s="235"/>
      <c r="C54" s="113">
        <f t="shared" ref="C54:Z54" si="6">COUNTIF(C13:C52,2)/COUNTA(C13:C52)*1</f>
        <v>0</v>
      </c>
      <c r="D54" s="113">
        <f t="shared" si="6"/>
        <v>0</v>
      </c>
      <c r="E54" s="113">
        <f t="shared" si="6"/>
        <v>0</v>
      </c>
      <c r="F54" s="113">
        <f t="shared" si="6"/>
        <v>0</v>
      </c>
      <c r="G54" s="113">
        <f t="shared" si="6"/>
        <v>0</v>
      </c>
      <c r="H54" s="113">
        <f t="shared" si="6"/>
        <v>0</v>
      </c>
      <c r="I54" s="113">
        <f t="shared" si="6"/>
        <v>0</v>
      </c>
      <c r="J54" s="113">
        <f t="shared" si="6"/>
        <v>0</v>
      </c>
      <c r="K54" s="113">
        <f t="shared" si="6"/>
        <v>0</v>
      </c>
      <c r="L54" s="113">
        <f t="shared" si="6"/>
        <v>0</v>
      </c>
      <c r="M54" s="113">
        <f t="shared" si="6"/>
        <v>0</v>
      </c>
      <c r="N54" s="113">
        <f t="shared" si="6"/>
        <v>0</v>
      </c>
      <c r="O54" s="113">
        <f t="shared" si="6"/>
        <v>0</v>
      </c>
      <c r="P54" s="113">
        <f t="shared" si="6"/>
        <v>0</v>
      </c>
      <c r="Q54" s="113">
        <f t="shared" si="6"/>
        <v>0</v>
      </c>
      <c r="R54" s="113">
        <f t="shared" si="6"/>
        <v>0</v>
      </c>
      <c r="S54" s="113">
        <f t="shared" si="6"/>
        <v>0</v>
      </c>
      <c r="T54" s="113">
        <f t="shared" si="6"/>
        <v>0</v>
      </c>
      <c r="U54" s="113">
        <f t="shared" si="6"/>
        <v>0</v>
      </c>
      <c r="V54" s="113">
        <f t="shared" si="6"/>
        <v>0</v>
      </c>
      <c r="W54" s="113">
        <f t="shared" si="6"/>
        <v>0</v>
      </c>
      <c r="X54" s="113">
        <f t="shared" si="6"/>
        <v>0</v>
      </c>
      <c r="Y54" s="113">
        <f t="shared" si="6"/>
        <v>0</v>
      </c>
      <c r="Z54" s="154">
        <f t="shared" si="6"/>
        <v>0</v>
      </c>
      <c r="AA54" s="1"/>
      <c r="AB54" s="1"/>
      <c r="AC54" s="214"/>
      <c r="AD54" s="190"/>
      <c r="AE54" s="218"/>
      <c r="AF54" s="189"/>
      <c r="AG54" s="61"/>
    </row>
    <row r="55" spans="1:33" ht="26.25" customHeight="1">
      <c r="A55" s="241" t="s">
        <v>22</v>
      </c>
      <c r="B55" s="235"/>
      <c r="C55" s="114" t="e">
        <f t="shared" ref="C55:Z55" si="7">COUNTIF(C12:C51,1)/COUNTA(C12:C51)*1</f>
        <v>#DIV/0!</v>
      </c>
      <c r="D55" s="114" t="e">
        <f t="shared" si="7"/>
        <v>#DIV/0!</v>
      </c>
      <c r="E55" s="114">
        <f t="shared" si="7"/>
        <v>0.33333333333333331</v>
      </c>
      <c r="F55" s="114">
        <f t="shared" si="7"/>
        <v>0</v>
      </c>
      <c r="G55" s="114">
        <f t="shared" si="7"/>
        <v>0</v>
      </c>
      <c r="H55" s="114">
        <f t="shared" si="7"/>
        <v>0.66666666666666663</v>
      </c>
      <c r="I55" s="114">
        <f t="shared" si="7"/>
        <v>0.5</v>
      </c>
      <c r="J55" s="114">
        <f t="shared" si="7"/>
        <v>0.5</v>
      </c>
      <c r="K55" s="114">
        <f t="shared" si="7"/>
        <v>0.5</v>
      </c>
      <c r="L55" s="114">
        <f t="shared" si="7"/>
        <v>0.5</v>
      </c>
      <c r="M55" s="114">
        <f t="shared" si="7"/>
        <v>0</v>
      </c>
      <c r="N55" s="114">
        <f t="shared" si="7"/>
        <v>0.5</v>
      </c>
      <c r="O55" s="114">
        <f t="shared" si="7"/>
        <v>0.5</v>
      </c>
      <c r="P55" s="114">
        <f t="shared" si="7"/>
        <v>0</v>
      </c>
      <c r="Q55" s="114">
        <f t="shared" si="7"/>
        <v>0.5</v>
      </c>
      <c r="R55" s="114">
        <f t="shared" si="7"/>
        <v>1</v>
      </c>
      <c r="S55" s="114">
        <f t="shared" si="7"/>
        <v>0</v>
      </c>
      <c r="T55" s="114">
        <f t="shared" si="7"/>
        <v>0</v>
      </c>
      <c r="U55" s="114">
        <f t="shared" si="7"/>
        <v>0.5</v>
      </c>
      <c r="V55" s="114">
        <f t="shared" si="7"/>
        <v>0.5</v>
      </c>
      <c r="W55" s="114">
        <f t="shared" si="7"/>
        <v>0.5</v>
      </c>
      <c r="X55" s="114">
        <f t="shared" si="7"/>
        <v>0</v>
      </c>
      <c r="Y55" s="114">
        <f t="shared" si="7"/>
        <v>0.5</v>
      </c>
      <c r="Z55" s="155">
        <f t="shared" si="7"/>
        <v>0.5</v>
      </c>
      <c r="AA55" s="1"/>
      <c r="AB55" s="1"/>
      <c r="AC55" s="215"/>
      <c r="AD55" s="216"/>
      <c r="AE55" s="219"/>
      <c r="AF55" s="189"/>
      <c r="AG55" s="61"/>
    </row>
    <row r="56" spans="1:33" ht="19.5" customHeight="1">
      <c r="A56" s="242" t="s">
        <v>23</v>
      </c>
      <c r="B56" s="235"/>
      <c r="C56" s="115" t="e">
        <f t="shared" ref="C56:Z56" si="8">COUNTIF(C12:C51,0)/COUNTA(C12:C51)*1</f>
        <v>#DIV/0!</v>
      </c>
      <c r="D56" s="115" t="e">
        <f t="shared" si="8"/>
        <v>#DIV/0!</v>
      </c>
      <c r="E56" s="115">
        <f t="shared" si="8"/>
        <v>0</v>
      </c>
      <c r="F56" s="115">
        <f t="shared" si="8"/>
        <v>0</v>
      </c>
      <c r="G56" s="115">
        <f t="shared" si="8"/>
        <v>0</v>
      </c>
      <c r="H56" s="115">
        <f t="shared" si="8"/>
        <v>0</v>
      </c>
      <c r="I56" s="115">
        <f t="shared" si="8"/>
        <v>0</v>
      </c>
      <c r="J56" s="115">
        <f t="shared" si="8"/>
        <v>0</v>
      </c>
      <c r="K56" s="115">
        <f t="shared" si="8"/>
        <v>0</v>
      </c>
      <c r="L56" s="115">
        <f t="shared" si="8"/>
        <v>0</v>
      </c>
      <c r="M56" s="115">
        <f t="shared" si="8"/>
        <v>0</v>
      </c>
      <c r="N56" s="115">
        <f t="shared" si="8"/>
        <v>0</v>
      </c>
      <c r="O56" s="115">
        <f t="shared" si="8"/>
        <v>0</v>
      </c>
      <c r="P56" s="115">
        <f t="shared" si="8"/>
        <v>0</v>
      </c>
      <c r="Q56" s="115">
        <f t="shared" si="8"/>
        <v>0</v>
      </c>
      <c r="R56" s="115">
        <f t="shared" si="8"/>
        <v>0</v>
      </c>
      <c r="S56" s="115">
        <f t="shared" si="8"/>
        <v>0</v>
      </c>
      <c r="T56" s="115">
        <f t="shared" si="8"/>
        <v>0</v>
      </c>
      <c r="U56" s="115">
        <f t="shared" si="8"/>
        <v>0</v>
      </c>
      <c r="V56" s="115">
        <f t="shared" si="8"/>
        <v>0</v>
      </c>
      <c r="W56" s="115">
        <f t="shared" si="8"/>
        <v>0</v>
      </c>
      <c r="X56" s="115">
        <f t="shared" si="8"/>
        <v>0</v>
      </c>
      <c r="Y56" s="115">
        <f t="shared" si="8"/>
        <v>0</v>
      </c>
      <c r="Z56" s="156">
        <f t="shared" si="8"/>
        <v>0</v>
      </c>
      <c r="AA56" s="1"/>
      <c r="AB56" s="1"/>
      <c r="AC56" s="222" t="s">
        <v>56</v>
      </c>
      <c r="AD56" s="223"/>
      <c r="AE56" s="65">
        <f>COUNTIFS(AE12:AE51,"Logrado")</f>
        <v>0</v>
      </c>
      <c r="AF56" s="1"/>
      <c r="AG56" s="1"/>
    </row>
    <row r="57" spans="1:33" ht="19.5" customHeight="1">
      <c r="A57" s="224" t="s">
        <v>57</v>
      </c>
      <c r="B57" s="225"/>
      <c r="C57" s="116" t="e">
        <f t="shared" ref="C57:Z57" si="9">SUM(C53:C56)</f>
        <v>#DIV/0!</v>
      </c>
      <c r="D57" s="116" t="e">
        <f t="shared" si="9"/>
        <v>#DIV/0!</v>
      </c>
      <c r="E57" s="116">
        <f t="shared" si="9"/>
        <v>1</v>
      </c>
      <c r="F57" s="116">
        <f t="shared" si="9"/>
        <v>1</v>
      </c>
      <c r="G57" s="116">
        <f t="shared" si="9"/>
        <v>1</v>
      </c>
      <c r="H57" s="116">
        <f t="shared" si="9"/>
        <v>1</v>
      </c>
      <c r="I57" s="116">
        <f t="shared" si="9"/>
        <v>1</v>
      </c>
      <c r="J57" s="116">
        <f t="shared" si="9"/>
        <v>1</v>
      </c>
      <c r="K57" s="116">
        <f t="shared" si="9"/>
        <v>1</v>
      </c>
      <c r="L57" s="116">
        <f t="shared" si="9"/>
        <v>1</v>
      </c>
      <c r="M57" s="116">
        <f t="shared" si="9"/>
        <v>1</v>
      </c>
      <c r="N57" s="116">
        <f t="shared" si="9"/>
        <v>1</v>
      </c>
      <c r="O57" s="116">
        <f t="shared" si="9"/>
        <v>1</v>
      </c>
      <c r="P57" s="116">
        <f t="shared" si="9"/>
        <v>1</v>
      </c>
      <c r="Q57" s="116">
        <f t="shared" si="9"/>
        <v>1</v>
      </c>
      <c r="R57" s="116">
        <f t="shared" si="9"/>
        <v>1</v>
      </c>
      <c r="S57" s="116">
        <f t="shared" si="9"/>
        <v>1</v>
      </c>
      <c r="T57" s="116">
        <f t="shared" si="9"/>
        <v>1</v>
      </c>
      <c r="U57" s="116">
        <f t="shared" si="9"/>
        <v>1</v>
      </c>
      <c r="V57" s="116">
        <f t="shared" si="9"/>
        <v>1</v>
      </c>
      <c r="W57" s="116">
        <f t="shared" si="9"/>
        <v>1</v>
      </c>
      <c r="X57" s="116">
        <f t="shared" si="9"/>
        <v>1</v>
      </c>
      <c r="Y57" s="116">
        <f t="shared" si="9"/>
        <v>1</v>
      </c>
      <c r="Z57" s="157">
        <f t="shared" si="9"/>
        <v>1</v>
      </c>
      <c r="AA57" s="1"/>
      <c r="AB57" s="1"/>
      <c r="AC57" s="234" t="s">
        <v>58</v>
      </c>
      <c r="AD57" s="235"/>
      <c r="AE57" s="67">
        <f>COUNTIFS(AE12:AE51,"Proceso")</f>
        <v>2</v>
      </c>
      <c r="AF57" s="1"/>
      <c r="AG57" s="1"/>
    </row>
    <row r="58" spans="1:33" ht="19.5" customHeight="1">
      <c r="A58" s="117"/>
      <c r="B58" s="117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"/>
      <c r="AB58" s="1"/>
      <c r="AC58" s="236" t="s">
        <v>59</v>
      </c>
      <c r="AD58" s="237"/>
      <c r="AE58" s="69">
        <f>COUNTIFS(AE11:AE50,"Inicio")</f>
        <v>0</v>
      </c>
      <c r="AF58" s="1"/>
      <c r="AG58" s="1"/>
    </row>
    <row r="59" spans="1:33" ht="19.5" customHeight="1">
      <c r="A59" s="68"/>
      <c r="B59" s="68"/>
      <c r="C59" s="119"/>
      <c r="D59" s="11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254" t="s">
        <v>101</v>
      </c>
      <c r="AD59" s="237"/>
      <c r="AE59" s="69">
        <f>COUNTIFS(AE12:AE51,"Previo al Inicio")</f>
        <v>1</v>
      </c>
      <c r="AF59" s="1"/>
      <c r="AG59" s="1"/>
    </row>
    <row r="60" spans="1:33" ht="34.5" customHeight="1">
      <c r="A60" s="226" t="s">
        <v>60</v>
      </c>
      <c r="B60" s="211"/>
      <c r="C60" s="120" t="e">
        <f t="shared" ref="C60:Z60" si="10">IF(COUNTIF(C12:C51,3)/COUNTA(C12:C51)&lt;=0.25,"Previo al inicio",
   IF(COUNTIF(C12:C51,3)/COUNTA(C12:C51)&lt;=0.5,"Inicio",
   IF(COUNTIF(C12:C51,3)/COUNTA(C12:C51)&lt;=0.75,"Proceso",
   "Logrado")))</f>
        <v>#DIV/0!</v>
      </c>
      <c r="D60" s="120" t="e">
        <f t="shared" si="10"/>
        <v>#DIV/0!</v>
      </c>
      <c r="E60" s="120" t="str">
        <f t="shared" si="10"/>
        <v>Proceso</v>
      </c>
      <c r="F60" s="120" t="str">
        <f t="shared" si="10"/>
        <v>Logrado</v>
      </c>
      <c r="G60" s="121" t="str">
        <f t="shared" si="10"/>
        <v>Logrado</v>
      </c>
      <c r="H60" s="122" t="str">
        <f t="shared" si="10"/>
        <v>Inicio</v>
      </c>
      <c r="I60" s="122" t="str">
        <f t="shared" si="10"/>
        <v>Inicio</v>
      </c>
      <c r="J60" s="122" t="str">
        <f t="shared" si="10"/>
        <v>Inicio</v>
      </c>
      <c r="K60" s="123" t="str">
        <f t="shared" si="10"/>
        <v>Inicio</v>
      </c>
      <c r="L60" s="124" t="str">
        <f t="shared" si="10"/>
        <v>Inicio</v>
      </c>
      <c r="M60" s="125" t="str">
        <f t="shared" si="10"/>
        <v>Logrado</v>
      </c>
      <c r="N60" s="125" t="str">
        <f t="shared" si="10"/>
        <v>Inicio</v>
      </c>
      <c r="O60" s="125" t="str">
        <f t="shared" si="10"/>
        <v>Inicio</v>
      </c>
      <c r="P60" s="125" t="str">
        <f t="shared" si="10"/>
        <v>Logrado</v>
      </c>
      <c r="Q60" s="126" t="str">
        <f t="shared" si="10"/>
        <v>Inicio</v>
      </c>
      <c r="R60" s="125" t="str">
        <f t="shared" si="10"/>
        <v>Previo al inicio</v>
      </c>
      <c r="S60" s="125" t="str">
        <f t="shared" si="10"/>
        <v>Logrado</v>
      </c>
      <c r="T60" s="125" t="str">
        <f t="shared" si="10"/>
        <v>Logrado</v>
      </c>
      <c r="U60" s="127" t="str">
        <f t="shared" si="10"/>
        <v>Inicio</v>
      </c>
      <c r="V60" s="124" t="str">
        <f t="shared" si="10"/>
        <v>Inicio</v>
      </c>
      <c r="W60" s="125" t="str">
        <f t="shared" si="10"/>
        <v>Inicio</v>
      </c>
      <c r="X60" s="125" t="str">
        <f t="shared" si="10"/>
        <v>Logrado</v>
      </c>
      <c r="Y60" s="125" t="str">
        <f t="shared" si="10"/>
        <v>Inicio</v>
      </c>
      <c r="Z60" s="128" t="str">
        <f t="shared" si="10"/>
        <v>Inicio</v>
      </c>
      <c r="AA60" s="1"/>
      <c r="AB60" s="1"/>
      <c r="AC60" s="238" t="s">
        <v>61</v>
      </c>
      <c r="AD60" s="211"/>
      <c r="AE60" s="74">
        <f>SUM(AE56:AE59)</f>
        <v>3</v>
      </c>
      <c r="AF60" s="1"/>
      <c r="AG60" s="1"/>
    </row>
    <row r="61" spans="1:33" ht="25.5" customHeight="1">
      <c r="A61" s="228" t="s">
        <v>62</v>
      </c>
      <c r="B61" s="229"/>
      <c r="C61" s="253" t="e">
        <f>IF(SUM(C53:F53)&lt;=100%,"Previo al Inicio",IF(SUM(C53:F53)&lt;=200%,"Inicio",
IF(SUM(C53:F53)&lt;=300%,"Proceso",
"Logrado")))</f>
        <v>#DIV/0!</v>
      </c>
      <c r="D61" s="210"/>
      <c r="E61" s="210"/>
      <c r="F61" s="211"/>
      <c r="G61" s="226" t="str">
        <f>IF(SUM(G53:K53)&lt;=125%,"Previo al Inicio",IF(SUM(G53:K53)&lt;=250%,"Inicio",IF(SUM(G53:K53)&lt;=375%,"Proceso","Logrado")))</f>
        <v>Proceso</v>
      </c>
      <c r="H61" s="210"/>
      <c r="I61" s="210"/>
      <c r="J61" s="210"/>
      <c r="K61" s="211"/>
      <c r="L61" s="253" t="str">
        <f>IF(SUM(L53:P53)&lt;=150%,"Previo al Inicio",IF(SUM(L53:P53)&lt;=300%,"Inicio",IF(SUM(L53:P53)&lt;=450%,"Proceso","Logrado")))</f>
        <v>Proceso</v>
      </c>
      <c r="M61" s="210"/>
      <c r="N61" s="210"/>
      <c r="O61" s="210"/>
      <c r="P61" s="252"/>
      <c r="Q61" s="253" t="str">
        <f>IF(SUM(Q53:U53)&lt;=125%,"Previo al Inicio",IF(SUM(Q53:U53)&lt;=250%,"Inicio",IF(SUM(Q53:U53)&lt;=375%,"Proceso","Logrado")))</f>
        <v>Proceso</v>
      </c>
      <c r="R61" s="210"/>
      <c r="S61" s="210"/>
      <c r="T61" s="210"/>
      <c r="U61" s="211"/>
      <c r="V61" s="226" t="str">
        <f>IF(SUM(V53:Z53)&lt;=125%,"Previo al Inicio",IF(SUM(V53:Z53)&lt;=250%,"Inicio",IF(SUM(V53:Z53)&lt;=375%,"Proceso","Logrado")))</f>
        <v>Proceso</v>
      </c>
      <c r="W61" s="210"/>
      <c r="X61" s="210"/>
      <c r="Y61" s="210"/>
      <c r="Z61" s="211"/>
      <c r="AA61" s="75"/>
      <c r="AB61" s="75"/>
      <c r="AC61" s="75"/>
      <c r="AD61" s="1"/>
      <c r="AE61" s="1"/>
      <c r="AF61" s="1"/>
      <c r="AG61" s="1"/>
    </row>
    <row r="62" spans="1:3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5.75" customHeight="1">
      <c r="A63" s="1"/>
      <c r="B63" s="1"/>
      <c r="C63" s="1"/>
      <c r="D63" s="1"/>
      <c r="E63" s="1"/>
      <c r="F63" s="1"/>
      <c r="G63" s="1"/>
      <c r="H63" s="1"/>
      <c r="I63" s="13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5.75" customHeight="1">
      <c r="A64" s="1"/>
      <c r="B64" s="220" t="s">
        <v>63</v>
      </c>
      <c r="C64" s="210"/>
      <c r="D64" s="211"/>
      <c r="E64" s="134"/>
      <c r="F64" s="13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5.75" customHeight="1">
      <c r="A65" s="1"/>
      <c r="B65" s="139" t="s">
        <v>20</v>
      </c>
      <c r="C65" s="140" t="s">
        <v>64</v>
      </c>
      <c r="D65" s="78">
        <v>3</v>
      </c>
      <c r="E65" s="135"/>
      <c r="F65" s="13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5.75" customHeight="1">
      <c r="A66" s="1"/>
      <c r="B66" s="139" t="s">
        <v>21</v>
      </c>
      <c r="C66" s="80" t="s">
        <v>65</v>
      </c>
      <c r="D66" s="80">
        <v>2</v>
      </c>
      <c r="E66" s="135"/>
      <c r="F66" s="13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5.75" customHeight="1">
      <c r="A67" s="1"/>
      <c r="B67" s="141" t="s">
        <v>22</v>
      </c>
      <c r="C67" s="142" t="s">
        <v>66</v>
      </c>
      <c r="D67" s="83">
        <v>1</v>
      </c>
      <c r="E67" s="135"/>
      <c r="F67" s="13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5.75" customHeight="1">
      <c r="A68" s="1"/>
      <c r="B68" s="143" t="s">
        <v>23</v>
      </c>
      <c r="C68" s="86" t="s">
        <v>67</v>
      </c>
      <c r="D68" s="86">
        <v>0</v>
      </c>
      <c r="E68" s="135"/>
      <c r="F68" s="13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5.75" customHeight="1"/>
    <row r="83" spans="1:33" ht="15.75" customHeight="1"/>
    <row r="84" spans="1:33" ht="15.75" customHeight="1"/>
    <row r="85" spans="1:33" ht="15.75" customHeight="1"/>
    <row r="86" spans="1:33" ht="15.75" customHeight="1"/>
    <row r="87" spans="1:33" ht="15.75" customHeight="1"/>
    <row r="88" spans="1:33" ht="15.75" customHeight="1"/>
    <row r="89" spans="1:33" ht="15.75" customHeight="1"/>
    <row r="90" spans="1:33" ht="15.75" customHeight="1"/>
    <row r="91" spans="1:33" ht="15.75" customHeight="1"/>
    <row r="92" spans="1:33" ht="15.75" customHeight="1"/>
    <row r="93" spans="1:33" ht="15.75" customHeight="1"/>
    <row r="94" spans="1:33" ht="15.75" customHeight="1"/>
    <row r="95" spans="1:33" ht="15.75" customHeight="1"/>
    <row r="96" spans="1:33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">
    <mergeCell ref="AA10:AA11"/>
    <mergeCell ref="AB10:AB11"/>
    <mergeCell ref="AC10:AC11"/>
    <mergeCell ref="AD10:AD11"/>
    <mergeCell ref="A1:AE1"/>
    <mergeCell ref="C3:AE3"/>
    <mergeCell ref="C5:Z5"/>
    <mergeCell ref="AA5:AD9"/>
    <mergeCell ref="AE5:AE11"/>
    <mergeCell ref="V6:Z6"/>
    <mergeCell ref="V8:Z8"/>
    <mergeCell ref="A5:A11"/>
    <mergeCell ref="C9:F9"/>
    <mergeCell ref="C8:F8"/>
    <mergeCell ref="G8:K8"/>
    <mergeCell ref="L8:P8"/>
    <mergeCell ref="B64:D64"/>
    <mergeCell ref="G9:K9"/>
    <mergeCell ref="L9:P9"/>
    <mergeCell ref="Q9:U9"/>
    <mergeCell ref="V9:Z9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G61:K61"/>
    <mergeCell ref="L61:P61"/>
    <mergeCell ref="Q61:U61"/>
    <mergeCell ref="V61:Z61"/>
    <mergeCell ref="A54:B54"/>
    <mergeCell ref="A55:B55"/>
    <mergeCell ref="A56:B56"/>
    <mergeCell ref="A57:B57"/>
    <mergeCell ref="A60:B60"/>
    <mergeCell ref="A61:B61"/>
    <mergeCell ref="C61:F61"/>
    <mergeCell ref="AC60:AD60"/>
    <mergeCell ref="B38:D38"/>
    <mergeCell ref="B39:D39"/>
    <mergeCell ref="B40:D40"/>
    <mergeCell ref="B41:D41"/>
    <mergeCell ref="A52:B52"/>
    <mergeCell ref="AC52:AE52"/>
    <mergeCell ref="A53:B53"/>
    <mergeCell ref="AF53:AF55"/>
    <mergeCell ref="AC56:AD56"/>
    <mergeCell ref="AC57:AD57"/>
    <mergeCell ref="AC58:AD58"/>
    <mergeCell ref="AC59:AD59"/>
    <mergeCell ref="B35:D35"/>
    <mergeCell ref="B36:D36"/>
    <mergeCell ref="B37:D37"/>
    <mergeCell ref="AC53:AD55"/>
    <mergeCell ref="AE53:AE55"/>
    <mergeCell ref="B30:D30"/>
    <mergeCell ref="B31:D31"/>
    <mergeCell ref="B32:D32"/>
    <mergeCell ref="B33:D33"/>
    <mergeCell ref="B34:D34"/>
    <mergeCell ref="B25:D25"/>
    <mergeCell ref="B26:D26"/>
    <mergeCell ref="B27:D27"/>
    <mergeCell ref="B28:D28"/>
    <mergeCell ref="B29:D29"/>
    <mergeCell ref="Q8:U8"/>
    <mergeCell ref="B24:D24"/>
    <mergeCell ref="B23:D23"/>
    <mergeCell ref="C7:F7"/>
    <mergeCell ref="G7:K7"/>
    <mergeCell ref="L7:P7"/>
    <mergeCell ref="Q7:U7"/>
    <mergeCell ref="A3:B3"/>
    <mergeCell ref="V7:Z7"/>
    <mergeCell ref="C6:F6"/>
    <mergeCell ref="G6:K6"/>
    <mergeCell ref="L6:P6"/>
    <mergeCell ref="Q6:U6"/>
  </mergeCells>
  <conditionalFormatting sqref="C60:Z60">
    <cfRule type="expression" dxfId="79" priority="1">
      <formula>C60="Logrado"</formula>
    </cfRule>
  </conditionalFormatting>
  <conditionalFormatting sqref="C60:Z60">
    <cfRule type="expression" dxfId="78" priority="2">
      <formula>C60="Proceso"</formula>
    </cfRule>
  </conditionalFormatting>
  <conditionalFormatting sqref="C60:Z60">
    <cfRule type="expression" dxfId="77" priority="3">
      <formula>C60="Inicio"</formula>
    </cfRule>
  </conditionalFormatting>
  <conditionalFormatting sqref="C60:Z60">
    <cfRule type="expression" dxfId="76" priority="4">
      <formula>C60="Previo al Inicio"</formula>
    </cfRule>
  </conditionalFormatting>
  <conditionalFormatting sqref="C61">
    <cfRule type="expression" dxfId="75" priority="5">
      <formula>C61="Previo al inicio"</formula>
    </cfRule>
  </conditionalFormatting>
  <conditionalFormatting sqref="C61">
    <cfRule type="expression" dxfId="74" priority="6">
      <formula>C61="Inicio"</formula>
    </cfRule>
  </conditionalFormatting>
  <conditionalFormatting sqref="C61">
    <cfRule type="expression" dxfId="73" priority="7">
      <formula>C61="Proceso"</formula>
    </cfRule>
  </conditionalFormatting>
  <conditionalFormatting sqref="C61">
    <cfRule type="expression" dxfId="72" priority="8">
      <formula>C61="Logrado"</formula>
    </cfRule>
  </conditionalFormatting>
  <conditionalFormatting sqref="G61">
    <cfRule type="expression" dxfId="71" priority="9">
      <formula>G61="Previo al inicio"</formula>
    </cfRule>
  </conditionalFormatting>
  <conditionalFormatting sqref="G61">
    <cfRule type="expression" dxfId="70" priority="10">
      <formula>G61="Inicio"</formula>
    </cfRule>
  </conditionalFormatting>
  <conditionalFormatting sqref="G61">
    <cfRule type="expression" dxfId="69" priority="11">
      <formula>G61="Proceso"</formula>
    </cfRule>
  </conditionalFormatting>
  <conditionalFormatting sqref="G61">
    <cfRule type="expression" dxfId="68" priority="12">
      <formula>G61="Logrado"</formula>
    </cfRule>
  </conditionalFormatting>
  <conditionalFormatting sqref="L61">
    <cfRule type="expression" dxfId="67" priority="13">
      <formula>L61="Previo al inicio"</formula>
    </cfRule>
  </conditionalFormatting>
  <conditionalFormatting sqref="L61">
    <cfRule type="expression" dxfId="66" priority="14">
      <formula>L61="Inicio"</formula>
    </cfRule>
  </conditionalFormatting>
  <conditionalFormatting sqref="L61">
    <cfRule type="expression" dxfId="65" priority="15">
      <formula>L61="Proceso"</formula>
    </cfRule>
  </conditionalFormatting>
  <conditionalFormatting sqref="L61">
    <cfRule type="expression" dxfId="64" priority="16">
      <formula>L61="Logrado"</formula>
    </cfRule>
  </conditionalFormatting>
  <conditionalFormatting sqref="Q61">
    <cfRule type="expression" dxfId="63" priority="17">
      <formula>Q61="Previo al inicio"</formula>
    </cfRule>
  </conditionalFormatting>
  <conditionalFormatting sqref="Q61">
    <cfRule type="expression" dxfId="62" priority="18">
      <formula>Q61="Inicio"</formula>
    </cfRule>
  </conditionalFormatting>
  <conditionalFormatting sqref="Q61">
    <cfRule type="expression" dxfId="61" priority="19">
      <formula>Q61="Proceso"</formula>
    </cfRule>
  </conditionalFormatting>
  <conditionalFormatting sqref="Q61">
    <cfRule type="expression" dxfId="60" priority="20">
      <formula>Q61="Logrado"</formula>
    </cfRule>
  </conditionalFormatting>
  <conditionalFormatting sqref="V61">
    <cfRule type="expression" dxfId="59" priority="21">
      <formula>V61="Previo al inicio"</formula>
    </cfRule>
  </conditionalFormatting>
  <conditionalFormatting sqref="V61">
    <cfRule type="expression" dxfId="58" priority="22">
      <formula>V61="Inicio"</formula>
    </cfRule>
  </conditionalFormatting>
  <conditionalFormatting sqref="V61">
    <cfRule type="expression" dxfId="57" priority="23">
      <formula>V61="Proceso"</formula>
    </cfRule>
  </conditionalFormatting>
  <conditionalFormatting sqref="V61">
    <cfRule type="expression" dxfId="56" priority="24">
      <formula>V61="Logrado"</formula>
    </cfRule>
  </conditionalFormatting>
  <conditionalFormatting sqref="AE12:AE51">
    <cfRule type="expression" dxfId="55" priority="25">
      <formula>AE12="Logrado"</formula>
    </cfRule>
  </conditionalFormatting>
  <conditionalFormatting sqref="AE12:AE51">
    <cfRule type="expression" dxfId="54" priority="26">
      <formula>AE12="Proceso"</formula>
    </cfRule>
  </conditionalFormatting>
  <conditionalFormatting sqref="AE12:AE51">
    <cfRule type="expression" dxfId="53" priority="27">
      <formula>AE12="Inicio"</formula>
    </cfRule>
  </conditionalFormatting>
  <conditionalFormatting sqref="AE12:AE51">
    <cfRule type="expression" dxfId="52" priority="28">
      <formula>AE12="Previo al Inicio"</formula>
    </cfRule>
  </conditionalFormatting>
  <dataValidations count="1">
    <dataValidation type="list" allowBlank="1" showErrorMessage="1" sqref="E12:Z41 C42:Z51 D65:D68" xr:uid="{00000000-0002-0000-1800-000000000000}">
      <formula1>"0,1,2,3"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H1000"/>
  <sheetViews>
    <sheetView workbookViewId="0"/>
  </sheetViews>
  <sheetFormatPr baseColWidth="10" defaultColWidth="14.44140625" defaultRowHeight="15" customHeight="1"/>
  <cols>
    <col min="1" max="1" width="6.44140625" customWidth="1"/>
    <col min="2" max="2" width="44" customWidth="1"/>
    <col min="3" max="27" width="12.6640625" customWidth="1"/>
    <col min="28" max="31" width="10.6640625" customWidth="1"/>
    <col min="32" max="32" width="21" customWidth="1"/>
    <col min="33" max="33" width="10.6640625" customWidth="1"/>
    <col min="34" max="34" width="17.5546875" customWidth="1"/>
  </cols>
  <sheetData>
    <row r="1" spans="1:34" ht="33">
      <c r="A1" s="173" t="s">
        <v>126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5"/>
      <c r="AG1" s="1"/>
      <c r="AH1" s="1"/>
    </row>
    <row r="2" spans="1:34" ht="15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21">
      <c r="A3" s="176" t="s">
        <v>1</v>
      </c>
      <c r="B3" s="177"/>
      <c r="C3" s="244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70"/>
      <c r="AG3" s="1"/>
      <c r="AH3" s="1"/>
    </row>
    <row r="4" spans="1:34" ht="15.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1"/>
      <c r="AH4" s="1"/>
    </row>
    <row r="5" spans="1:34" ht="52.5" customHeight="1">
      <c r="A5" s="179" t="s">
        <v>2</v>
      </c>
      <c r="B5" s="3" t="s">
        <v>3</v>
      </c>
      <c r="C5" s="245" t="s">
        <v>4</v>
      </c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7"/>
      <c r="AB5" s="185" t="s">
        <v>5</v>
      </c>
      <c r="AC5" s="186"/>
      <c r="AD5" s="186"/>
      <c r="AE5" s="266"/>
      <c r="AF5" s="194" t="s">
        <v>6</v>
      </c>
      <c r="AG5" s="1"/>
      <c r="AH5" s="1"/>
    </row>
    <row r="6" spans="1:34" ht="52.5" customHeight="1">
      <c r="A6" s="180"/>
      <c r="B6" s="4" t="s">
        <v>7</v>
      </c>
      <c r="C6" s="195" t="s">
        <v>127</v>
      </c>
      <c r="D6" s="169"/>
      <c r="E6" s="169"/>
      <c r="F6" s="169"/>
      <c r="G6" s="170"/>
      <c r="H6" s="168" t="s">
        <v>128</v>
      </c>
      <c r="I6" s="169"/>
      <c r="J6" s="169"/>
      <c r="K6" s="169"/>
      <c r="L6" s="170"/>
      <c r="M6" s="195" t="s">
        <v>129</v>
      </c>
      <c r="N6" s="169"/>
      <c r="O6" s="169"/>
      <c r="P6" s="169"/>
      <c r="Q6" s="259"/>
      <c r="R6" s="168" t="s">
        <v>130</v>
      </c>
      <c r="S6" s="169"/>
      <c r="T6" s="169"/>
      <c r="U6" s="169"/>
      <c r="V6" s="170"/>
      <c r="W6" s="168" t="s">
        <v>131</v>
      </c>
      <c r="X6" s="169"/>
      <c r="Y6" s="169"/>
      <c r="Z6" s="169"/>
      <c r="AA6" s="170"/>
      <c r="AB6" s="188"/>
      <c r="AC6" s="189"/>
      <c r="AD6" s="189"/>
      <c r="AE6" s="267"/>
      <c r="AF6" s="180"/>
      <c r="AG6" s="1"/>
      <c r="AH6" s="1"/>
    </row>
    <row r="7" spans="1:34" ht="52.5" customHeight="1">
      <c r="A7" s="180"/>
      <c r="B7" s="5" t="s">
        <v>10</v>
      </c>
      <c r="C7" s="255" t="s">
        <v>81</v>
      </c>
      <c r="D7" s="198"/>
      <c r="E7" s="198"/>
      <c r="F7" s="198"/>
      <c r="G7" s="256"/>
      <c r="H7" s="197" t="s">
        <v>11</v>
      </c>
      <c r="I7" s="198"/>
      <c r="J7" s="198"/>
      <c r="K7" s="198"/>
      <c r="L7" s="256"/>
      <c r="M7" s="197" t="s">
        <v>108</v>
      </c>
      <c r="N7" s="198"/>
      <c r="O7" s="198"/>
      <c r="P7" s="198"/>
      <c r="Q7" s="256"/>
      <c r="R7" s="197" t="s">
        <v>110</v>
      </c>
      <c r="S7" s="198"/>
      <c r="T7" s="198"/>
      <c r="U7" s="198"/>
      <c r="V7" s="199"/>
      <c r="W7" s="197" t="s">
        <v>109</v>
      </c>
      <c r="X7" s="198"/>
      <c r="Y7" s="198"/>
      <c r="Z7" s="198"/>
      <c r="AA7" s="199"/>
      <c r="AB7" s="188"/>
      <c r="AC7" s="189"/>
      <c r="AD7" s="189"/>
      <c r="AE7" s="267"/>
      <c r="AF7" s="180"/>
      <c r="AG7" s="1"/>
      <c r="AH7" s="1"/>
    </row>
    <row r="8" spans="1:34" ht="52.5" customHeight="1">
      <c r="A8" s="180"/>
      <c r="B8" s="4" t="s">
        <v>12</v>
      </c>
      <c r="C8" s="195" t="s">
        <v>111</v>
      </c>
      <c r="D8" s="169"/>
      <c r="E8" s="169"/>
      <c r="F8" s="169"/>
      <c r="G8" s="170"/>
      <c r="H8" s="168" t="s">
        <v>14</v>
      </c>
      <c r="I8" s="169"/>
      <c r="J8" s="169"/>
      <c r="K8" s="169"/>
      <c r="L8" s="170"/>
      <c r="M8" s="195" t="s">
        <v>111</v>
      </c>
      <c r="N8" s="169"/>
      <c r="O8" s="169"/>
      <c r="P8" s="169"/>
      <c r="Q8" s="170"/>
      <c r="R8" s="168" t="s">
        <v>113</v>
      </c>
      <c r="S8" s="169"/>
      <c r="T8" s="169"/>
      <c r="U8" s="169"/>
      <c r="V8" s="170"/>
      <c r="W8" s="168" t="s">
        <v>124</v>
      </c>
      <c r="X8" s="169"/>
      <c r="Y8" s="169"/>
      <c r="Z8" s="169"/>
      <c r="AA8" s="170"/>
      <c r="AB8" s="188"/>
      <c r="AC8" s="189"/>
      <c r="AD8" s="189"/>
      <c r="AE8" s="267"/>
      <c r="AF8" s="180"/>
      <c r="AG8" s="1"/>
      <c r="AH8" s="1"/>
    </row>
    <row r="9" spans="1:34" ht="52.5" customHeight="1">
      <c r="A9" s="180"/>
      <c r="B9" s="6" t="s">
        <v>15</v>
      </c>
      <c r="C9" s="255" t="s">
        <v>114</v>
      </c>
      <c r="D9" s="198"/>
      <c r="E9" s="198"/>
      <c r="F9" s="198"/>
      <c r="G9" s="256"/>
      <c r="H9" s="197" t="s">
        <v>16</v>
      </c>
      <c r="I9" s="198"/>
      <c r="J9" s="198"/>
      <c r="K9" s="198"/>
      <c r="L9" s="256"/>
      <c r="M9" s="255" t="s">
        <v>16</v>
      </c>
      <c r="N9" s="198"/>
      <c r="O9" s="198"/>
      <c r="P9" s="198"/>
      <c r="Q9" s="257"/>
      <c r="R9" s="197" t="s">
        <v>115</v>
      </c>
      <c r="S9" s="198"/>
      <c r="T9" s="198"/>
      <c r="U9" s="198"/>
      <c r="V9" s="256"/>
      <c r="W9" s="197" t="s">
        <v>16</v>
      </c>
      <c r="X9" s="198"/>
      <c r="Y9" s="198"/>
      <c r="Z9" s="198"/>
      <c r="AA9" s="199"/>
      <c r="AB9" s="191"/>
      <c r="AC9" s="192"/>
      <c r="AD9" s="192"/>
      <c r="AE9" s="268"/>
      <c r="AF9" s="180"/>
      <c r="AG9" s="1"/>
      <c r="AH9" s="1"/>
    </row>
    <row r="10" spans="1:34" ht="151.5" customHeight="1">
      <c r="A10" s="180"/>
      <c r="B10" s="144" t="s">
        <v>17</v>
      </c>
      <c r="C10" s="147" t="s">
        <v>18</v>
      </c>
      <c r="D10" s="145" t="s">
        <v>19</v>
      </c>
      <c r="E10" s="145" t="s">
        <v>19</v>
      </c>
      <c r="F10" s="145" t="s">
        <v>19</v>
      </c>
      <c r="G10" s="146" t="s">
        <v>83</v>
      </c>
      <c r="H10" s="147" t="s">
        <v>18</v>
      </c>
      <c r="I10" s="145" t="s">
        <v>18</v>
      </c>
      <c r="J10" s="145" t="s">
        <v>19</v>
      </c>
      <c r="K10" s="145" t="s">
        <v>19</v>
      </c>
      <c r="L10" s="146" t="s">
        <v>83</v>
      </c>
      <c r="M10" s="145" t="s">
        <v>19</v>
      </c>
      <c r="N10" s="145" t="s">
        <v>19</v>
      </c>
      <c r="O10" s="148" t="s">
        <v>83</v>
      </c>
      <c r="P10" s="145" t="s">
        <v>19</v>
      </c>
      <c r="Q10" s="148" t="s">
        <v>19</v>
      </c>
      <c r="R10" s="147" t="s">
        <v>18</v>
      </c>
      <c r="S10" s="145" t="s">
        <v>18</v>
      </c>
      <c r="T10" s="145" t="s">
        <v>18</v>
      </c>
      <c r="U10" s="145" t="s">
        <v>19</v>
      </c>
      <c r="V10" s="146" t="s">
        <v>83</v>
      </c>
      <c r="W10" s="158" t="s">
        <v>18</v>
      </c>
      <c r="X10" s="145" t="s">
        <v>18</v>
      </c>
      <c r="Y10" s="145" t="s">
        <v>19</v>
      </c>
      <c r="Z10" s="145" t="s">
        <v>19</v>
      </c>
      <c r="AA10" s="146" t="s">
        <v>83</v>
      </c>
      <c r="AB10" s="200" t="s">
        <v>20</v>
      </c>
      <c r="AC10" s="202" t="s">
        <v>21</v>
      </c>
      <c r="AD10" s="206" t="s">
        <v>22</v>
      </c>
      <c r="AE10" s="269" t="s">
        <v>23</v>
      </c>
      <c r="AF10" s="180"/>
      <c r="AG10" s="1"/>
      <c r="AH10" s="1"/>
    </row>
    <row r="11" spans="1:34" ht="24" customHeight="1">
      <c r="A11" s="181"/>
      <c r="B11" s="149" t="s">
        <v>24</v>
      </c>
      <c r="C11" s="150" t="s">
        <v>25</v>
      </c>
      <c r="D11" s="151" t="s">
        <v>26</v>
      </c>
      <c r="E11" s="150" t="s">
        <v>27</v>
      </c>
      <c r="F11" s="151" t="s">
        <v>28</v>
      </c>
      <c r="G11" s="150" t="s">
        <v>29</v>
      </c>
      <c r="H11" s="151" t="s">
        <v>30</v>
      </c>
      <c r="I11" s="150" t="s">
        <v>31</v>
      </c>
      <c r="J11" s="151" t="s">
        <v>84</v>
      </c>
      <c r="K11" s="150" t="s">
        <v>85</v>
      </c>
      <c r="L11" s="151" t="s">
        <v>86</v>
      </c>
      <c r="M11" s="150" t="s">
        <v>87</v>
      </c>
      <c r="N11" s="151" t="s">
        <v>88</v>
      </c>
      <c r="O11" s="150" t="s">
        <v>89</v>
      </c>
      <c r="P11" s="151" t="s">
        <v>90</v>
      </c>
      <c r="Q11" s="150" t="s">
        <v>91</v>
      </c>
      <c r="R11" s="151" t="s">
        <v>92</v>
      </c>
      <c r="S11" s="150" t="s">
        <v>93</v>
      </c>
      <c r="T11" s="151" t="s">
        <v>94</v>
      </c>
      <c r="U11" s="150" t="s">
        <v>95</v>
      </c>
      <c r="V11" s="151" t="s">
        <v>96</v>
      </c>
      <c r="W11" s="150" t="s">
        <v>97</v>
      </c>
      <c r="X11" s="151" t="s">
        <v>98</v>
      </c>
      <c r="Y11" s="150" t="s">
        <v>99</v>
      </c>
      <c r="Z11" s="151" t="s">
        <v>100</v>
      </c>
      <c r="AA11" s="150" t="s">
        <v>125</v>
      </c>
      <c r="AB11" s="201"/>
      <c r="AC11" s="203"/>
      <c r="AD11" s="201"/>
      <c r="AE11" s="203"/>
      <c r="AF11" s="203"/>
      <c r="AG11" s="1"/>
      <c r="AH11" s="1"/>
    </row>
    <row r="12" spans="1:34" ht="19.5" customHeight="1">
      <c r="A12" s="14">
        <v>1</v>
      </c>
      <c r="B12" s="46"/>
      <c r="C12" s="106">
        <v>3</v>
      </c>
      <c r="D12" s="41">
        <v>3</v>
      </c>
      <c r="E12" s="41">
        <v>3</v>
      </c>
      <c r="F12" s="42">
        <v>3</v>
      </c>
      <c r="G12" s="43">
        <v>3</v>
      </c>
      <c r="H12" s="106">
        <v>3</v>
      </c>
      <c r="I12" s="41">
        <v>3</v>
      </c>
      <c r="J12" s="41">
        <v>3</v>
      </c>
      <c r="K12" s="41">
        <v>3</v>
      </c>
      <c r="L12" s="43">
        <v>3</v>
      </c>
      <c r="M12" s="40">
        <v>3</v>
      </c>
      <c r="N12" s="41">
        <v>3</v>
      </c>
      <c r="O12" s="41">
        <v>3</v>
      </c>
      <c r="P12" s="41">
        <v>3</v>
      </c>
      <c r="Q12" s="41">
        <v>3</v>
      </c>
      <c r="R12" s="106">
        <v>3</v>
      </c>
      <c r="S12" s="41">
        <v>3</v>
      </c>
      <c r="T12" s="41">
        <v>3</v>
      </c>
      <c r="U12" s="41">
        <v>3</v>
      </c>
      <c r="V12" s="43">
        <v>3</v>
      </c>
      <c r="W12" s="106">
        <v>3</v>
      </c>
      <c r="X12" s="41">
        <v>3</v>
      </c>
      <c r="Y12" s="41">
        <v>3</v>
      </c>
      <c r="Z12" s="41">
        <v>3</v>
      </c>
      <c r="AA12" s="43">
        <v>3</v>
      </c>
      <c r="AB12" s="22">
        <f t="shared" ref="AB12:AB51" si="0">COUNTIF(C12:AA12,3)</f>
        <v>25</v>
      </c>
      <c r="AC12" s="23">
        <f t="shared" ref="AC12:AC51" si="1">COUNTIF(C12:AA12,2)</f>
        <v>0</v>
      </c>
      <c r="AD12" s="24">
        <f t="shared" ref="AD12:AD51" si="2">COUNTIF(C12:AA12,1)</f>
        <v>0</v>
      </c>
      <c r="AE12" s="23">
        <f t="shared" ref="AE12:AE51" si="3">COUNTIF(C12:AA12,0)</f>
        <v>0</v>
      </c>
      <c r="AF12" s="137" t="str">
        <f t="shared" ref="AF12:AF51" si="4">IF(COUNTA(C12:AA12)=0, "",
   IF(COUNTIF(C12:AA12,3)&lt;=6, "Previo al Inicio",
   IF(COUNTIF(C12:AA12,3)&lt;=12, "Inicio",
   IF(COUNTIF(C12:AA12,3)&lt;=19, "Proceso",
   IF(COUNTIF(C12:AA12,3)&lt;=25, "Logrado", "")))))</f>
        <v>Logrado</v>
      </c>
      <c r="AG12" s="1"/>
      <c r="AH12" s="1"/>
    </row>
    <row r="13" spans="1:34" ht="19.5" customHeight="1">
      <c r="A13" s="26">
        <v>2</v>
      </c>
      <c r="B13" s="27"/>
      <c r="C13" s="103"/>
      <c r="D13" s="31"/>
      <c r="E13" s="31"/>
      <c r="F13" s="32"/>
      <c r="G13" s="33"/>
      <c r="H13" s="103"/>
      <c r="I13" s="31"/>
      <c r="J13" s="31"/>
      <c r="K13" s="31"/>
      <c r="L13" s="33"/>
      <c r="M13" s="30"/>
      <c r="N13" s="31"/>
      <c r="O13" s="31"/>
      <c r="P13" s="31"/>
      <c r="Q13" s="31"/>
      <c r="R13" s="103"/>
      <c r="S13" s="31"/>
      <c r="T13" s="31"/>
      <c r="U13" s="31"/>
      <c r="V13" s="33"/>
      <c r="W13" s="103"/>
      <c r="X13" s="31"/>
      <c r="Y13" s="31"/>
      <c r="Z13" s="31"/>
      <c r="AA13" s="33"/>
      <c r="AB13" s="34">
        <f t="shared" si="0"/>
        <v>0</v>
      </c>
      <c r="AC13" s="35">
        <f t="shared" si="1"/>
        <v>0</v>
      </c>
      <c r="AD13" s="36">
        <f t="shared" si="2"/>
        <v>0</v>
      </c>
      <c r="AE13" s="35">
        <f t="shared" si="3"/>
        <v>0</v>
      </c>
      <c r="AF13" s="159" t="str">
        <f t="shared" si="4"/>
        <v/>
      </c>
      <c r="AG13" s="1"/>
      <c r="AH13" s="1"/>
    </row>
    <row r="14" spans="1:34" ht="19.5" customHeight="1">
      <c r="A14" s="37">
        <v>3</v>
      </c>
      <c r="B14" s="46"/>
      <c r="C14" s="106"/>
      <c r="D14" s="41"/>
      <c r="E14" s="41"/>
      <c r="F14" s="42"/>
      <c r="G14" s="43"/>
      <c r="H14" s="106"/>
      <c r="I14" s="41"/>
      <c r="J14" s="41"/>
      <c r="K14" s="41"/>
      <c r="L14" s="43"/>
      <c r="M14" s="40"/>
      <c r="N14" s="41"/>
      <c r="O14" s="41"/>
      <c r="P14" s="41"/>
      <c r="Q14" s="41"/>
      <c r="R14" s="106"/>
      <c r="S14" s="41"/>
      <c r="T14" s="41"/>
      <c r="U14" s="41"/>
      <c r="V14" s="43"/>
      <c r="W14" s="106"/>
      <c r="X14" s="41"/>
      <c r="Y14" s="41"/>
      <c r="Z14" s="41"/>
      <c r="AA14" s="43"/>
      <c r="AB14" s="22">
        <f t="shared" si="0"/>
        <v>0</v>
      </c>
      <c r="AC14" s="44">
        <f t="shared" si="1"/>
        <v>0</v>
      </c>
      <c r="AD14" s="45">
        <f t="shared" si="2"/>
        <v>0</v>
      </c>
      <c r="AE14" s="44">
        <f t="shared" si="3"/>
        <v>0</v>
      </c>
      <c r="AF14" s="159" t="str">
        <f t="shared" si="4"/>
        <v/>
      </c>
      <c r="AG14" s="1"/>
      <c r="AH14" s="1"/>
    </row>
    <row r="15" spans="1:34" ht="19.5" customHeight="1">
      <c r="A15" s="26">
        <v>4</v>
      </c>
      <c r="B15" s="27"/>
      <c r="C15" s="103"/>
      <c r="D15" s="31"/>
      <c r="E15" s="31"/>
      <c r="F15" s="32"/>
      <c r="G15" s="33"/>
      <c r="H15" s="103"/>
      <c r="I15" s="31"/>
      <c r="J15" s="31"/>
      <c r="K15" s="31"/>
      <c r="L15" s="33"/>
      <c r="M15" s="30"/>
      <c r="N15" s="31"/>
      <c r="O15" s="31"/>
      <c r="P15" s="31"/>
      <c r="Q15" s="31"/>
      <c r="R15" s="103"/>
      <c r="S15" s="31"/>
      <c r="T15" s="31"/>
      <c r="U15" s="31"/>
      <c r="V15" s="33"/>
      <c r="W15" s="103"/>
      <c r="X15" s="31"/>
      <c r="Y15" s="31"/>
      <c r="Z15" s="31"/>
      <c r="AA15" s="33"/>
      <c r="AB15" s="34">
        <f t="shared" si="0"/>
        <v>0</v>
      </c>
      <c r="AC15" s="35">
        <f t="shared" si="1"/>
        <v>0</v>
      </c>
      <c r="AD15" s="36">
        <f t="shared" si="2"/>
        <v>0</v>
      </c>
      <c r="AE15" s="35">
        <f t="shared" si="3"/>
        <v>0</v>
      </c>
      <c r="AF15" s="159" t="str">
        <f t="shared" si="4"/>
        <v/>
      </c>
      <c r="AG15" s="1"/>
      <c r="AH15" s="1"/>
    </row>
    <row r="16" spans="1:34" ht="19.5" customHeight="1">
      <c r="A16" s="37">
        <v>5</v>
      </c>
      <c r="B16" s="46"/>
      <c r="C16" s="106"/>
      <c r="D16" s="41"/>
      <c r="E16" s="41"/>
      <c r="F16" s="42"/>
      <c r="G16" s="43"/>
      <c r="H16" s="106"/>
      <c r="I16" s="41"/>
      <c r="J16" s="41"/>
      <c r="K16" s="41"/>
      <c r="L16" s="43"/>
      <c r="M16" s="40"/>
      <c r="N16" s="41"/>
      <c r="O16" s="41"/>
      <c r="P16" s="41"/>
      <c r="Q16" s="41"/>
      <c r="R16" s="106"/>
      <c r="S16" s="41"/>
      <c r="T16" s="41"/>
      <c r="U16" s="41"/>
      <c r="V16" s="43"/>
      <c r="W16" s="106"/>
      <c r="X16" s="41"/>
      <c r="Y16" s="41"/>
      <c r="Z16" s="41"/>
      <c r="AA16" s="43"/>
      <c r="AB16" s="22">
        <f t="shared" si="0"/>
        <v>0</v>
      </c>
      <c r="AC16" s="44">
        <f t="shared" si="1"/>
        <v>0</v>
      </c>
      <c r="AD16" s="45">
        <f t="shared" si="2"/>
        <v>0</v>
      </c>
      <c r="AE16" s="44">
        <f t="shared" si="3"/>
        <v>0</v>
      </c>
      <c r="AF16" s="159" t="str">
        <f t="shared" si="4"/>
        <v/>
      </c>
      <c r="AG16" s="1"/>
      <c r="AH16" s="1"/>
    </row>
    <row r="17" spans="1:34" ht="19.5" customHeight="1">
      <c r="A17" s="26">
        <v>6</v>
      </c>
      <c r="B17" s="27"/>
      <c r="C17" s="103"/>
      <c r="D17" s="31"/>
      <c r="E17" s="31"/>
      <c r="F17" s="32"/>
      <c r="G17" s="33"/>
      <c r="H17" s="103"/>
      <c r="I17" s="31"/>
      <c r="J17" s="31"/>
      <c r="K17" s="31"/>
      <c r="L17" s="33"/>
      <c r="M17" s="30"/>
      <c r="N17" s="31"/>
      <c r="O17" s="31"/>
      <c r="P17" s="31"/>
      <c r="Q17" s="31"/>
      <c r="R17" s="103"/>
      <c r="S17" s="31"/>
      <c r="T17" s="31"/>
      <c r="U17" s="31"/>
      <c r="V17" s="33"/>
      <c r="W17" s="103"/>
      <c r="X17" s="31"/>
      <c r="Y17" s="31"/>
      <c r="Z17" s="31"/>
      <c r="AA17" s="33"/>
      <c r="AB17" s="34">
        <f t="shared" si="0"/>
        <v>0</v>
      </c>
      <c r="AC17" s="35">
        <f t="shared" si="1"/>
        <v>0</v>
      </c>
      <c r="AD17" s="36">
        <f t="shared" si="2"/>
        <v>0</v>
      </c>
      <c r="AE17" s="35">
        <f t="shared" si="3"/>
        <v>0</v>
      </c>
      <c r="AF17" s="159" t="str">
        <f t="shared" si="4"/>
        <v/>
      </c>
      <c r="AG17" s="1"/>
      <c r="AH17" s="1"/>
    </row>
    <row r="18" spans="1:34" ht="19.5" customHeight="1">
      <c r="A18" s="37">
        <v>7</v>
      </c>
      <c r="B18" s="46"/>
      <c r="C18" s="106"/>
      <c r="D18" s="41"/>
      <c r="E18" s="41"/>
      <c r="F18" s="42"/>
      <c r="G18" s="43"/>
      <c r="H18" s="106"/>
      <c r="I18" s="41"/>
      <c r="J18" s="41"/>
      <c r="K18" s="41"/>
      <c r="L18" s="43"/>
      <c r="M18" s="40"/>
      <c r="N18" s="41"/>
      <c r="O18" s="41"/>
      <c r="P18" s="41"/>
      <c r="Q18" s="41"/>
      <c r="R18" s="106"/>
      <c r="S18" s="41"/>
      <c r="T18" s="41"/>
      <c r="U18" s="41"/>
      <c r="V18" s="43"/>
      <c r="W18" s="106"/>
      <c r="X18" s="41"/>
      <c r="Y18" s="41"/>
      <c r="Z18" s="41"/>
      <c r="AA18" s="43"/>
      <c r="AB18" s="22">
        <f t="shared" si="0"/>
        <v>0</v>
      </c>
      <c r="AC18" s="44">
        <f t="shared" si="1"/>
        <v>0</v>
      </c>
      <c r="AD18" s="45">
        <f t="shared" si="2"/>
        <v>0</v>
      </c>
      <c r="AE18" s="44">
        <f t="shared" si="3"/>
        <v>0</v>
      </c>
      <c r="AF18" s="159" t="str">
        <f t="shared" si="4"/>
        <v/>
      </c>
      <c r="AG18" s="1"/>
      <c r="AH18" s="1"/>
    </row>
    <row r="19" spans="1:34" ht="19.5" customHeight="1">
      <c r="A19" s="26">
        <v>8</v>
      </c>
      <c r="B19" s="27"/>
      <c r="C19" s="103"/>
      <c r="D19" s="31"/>
      <c r="E19" s="31"/>
      <c r="F19" s="32"/>
      <c r="G19" s="33"/>
      <c r="H19" s="103"/>
      <c r="I19" s="31"/>
      <c r="J19" s="31"/>
      <c r="K19" s="31"/>
      <c r="L19" s="33"/>
      <c r="M19" s="30"/>
      <c r="N19" s="31"/>
      <c r="O19" s="31"/>
      <c r="P19" s="31"/>
      <c r="Q19" s="31"/>
      <c r="R19" s="103"/>
      <c r="S19" s="31"/>
      <c r="T19" s="31"/>
      <c r="U19" s="31"/>
      <c r="V19" s="33"/>
      <c r="W19" s="103"/>
      <c r="X19" s="31"/>
      <c r="Y19" s="31"/>
      <c r="Z19" s="31"/>
      <c r="AA19" s="33"/>
      <c r="AB19" s="34">
        <f t="shared" si="0"/>
        <v>0</v>
      </c>
      <c r="AC19" s="35">
        <f t="shared" si="1"/>
        <v>0</v>
      </c>
      <c r="AD19" s="36">
        <f t="shared" si="2"/>
        <v>0</v>
      </c>
      <c r="AE19" s="35">
        <f t="shared" si="3"/>
        <v>0</v>
      </c>
      <c r="AF19" s="159" t="str">
        <f t="shared" si="4"/>
        <v/>
      </c>
      <c r="AG19" s="1"/>
      <c r="AH19" s="1"/>
    </row>
    <row r="20" spans="1:34" ht="19.5" customHeight="1">
      <c r="A20" s="37">
        <v>9</v>
      </c>
      <c r="B20" s="46"/>
      <c r="C20" s="106"/>
      <c r="D20" s="41"/>
      <c r="E20" s="41"/>
      <c r="F20" s="42"/>
      <c r="G20" s="43"/>
      <c r="H20" s="106"/>
      <c r="I20" s="41"/>
      <c r="J20" s="41"/>
      <c r="K20" s="41"/>
      <c r="L20" s="43"/>
      <c r="M20" s="40"/>
      <c r="N20" s="41"/>
      <c r="O20" s="41"/>
      <c r="P20" s="41"/>
      <c r="Q20" s="41"/>
      <c r="R20" s="106"/>
      <c r="S20" s="41"/>
      <c r="T20" s="41"/>
      <c r="U20" s="41"/>
      <c r="V20" s="43"/>
      <c r="W20" s="106"/>
      <c r="X20" s="41"/>
      <c r="Y20" s="41"/>
      <c r="Z20" s="41"/>
      <c r="AA20" s="43"/>
      <c r="AB20" s="22">
        <f t="shared" si="0"/>
        <v>0</v>
      </c>
      <c r="AC20" s="44">
        <f t="shared" si="1"/>
        <v>0</v>
      </c>
      <c r="AD20" s="45">
        <f t="shared" si="2"/>
        <v>0</v>
      </c>
      <c r="AE20" s="44">
        <f t="shared" si="3"/>
        <v>0</v>
      </c>
      <c r="AF20" s="159" t="str">
        <f t="shared" si="4"/>
        <v/>
      </c>
      <c r="AG20" s="1"/>
      <c r="AH20" s="1"/>
    </row>
    <row r="21" spans="1:34" ht="19.5" customHeight="1">
      <c r="A21" s="26">
        <v>10</v>
      </c>
      <c r="B21" s="27"/>
      <c r="C21" s="103"/>
      <c r="D21" s="31"/>
      <c r="E21" s="31"/>
      <c r="F21" s="32"/>
      <c r="G21" s="33"/>
      <c r="H21" s="103"/>
      <c r="I21" s="31"/>
      <c r="J21" s="31"/>
      <c r="K21" s="31"/>
      <c r="L21" s="33"/>
      <c r="M21" s="30"/>
      <c r="N21" s="31"/>
      <c r="O21" s="31"/>
      <c r="P21" s="31"/>
      <c r="Q21" s="31"/>
      <c r="R21" s="103"/>
      <c r="S21" s="31"/>
      <c r="T21" s="31"/>
      <c r="U21" s="31"/>
      <c r="V21" s="33"/>
      <c r="W21" s="103"/>
      <c r="X21" s="31"/>
      <c r="Y21" s="31"/>
      <c r="Z21" s="31"/>
      <c r="AA21" s="33"/>
      <c r="AB21" s="34">
        <f t="shared" si="0"/>
        <v>0</v>
      </c>
      <c r="AC21" s="35">
        <f t="shared" si="1"/>
        <v>0</v>
      </c>
      <c r="AD21" s="36">
        <f t="shared" si="2"/>
        <v>0</v>
      </c>
      <c r="AE21" s="35">
        <f t="shared" si="3"/>
        <v>0</v>
      </c>
      <c r="AF21" s="159" t="str">
        <f t="shared" si="4"/>
        <v/>
      </c>
      <c r="AG21" s="1"/>
      <c r="AH21" s="1"/>
    </row>
    <row r="22" spans="1:34" ht="19.5" customHeight="1">
      <c r="A22" s="37">
        <v>11</v>
      </c>
      <c r="B22" s="46"/>
      <c r="C22" s="106"/>
      <c r="D22" s="41"/>
      <c r="E22" s="41"/>
      <c r="F22" s="42"/>
      <c r="G22" s="43"/>
      <c r="H22" s="106"/>
      <c r="I22" s="41"/>
      <c r="J22" s="41"/>
      <c r="K22" s="41"/>
      <c r="L22" s="43"/>
      <c r="M22" s="40"/>
      <c r="N22" s="41"/>
      <c r="O22" s="41"/>
      <c r="P22" s="41"/>
      <c r="Q22" s="41"/>
      <c r="R22" s="106"/>
      <c r="S22" s="41"/>
      <c r="T22" s="41"/>
      <c r="U22" s="41"/>
      <c r="V22" s="43"/>
      <c r="W22" s="106"/>
      <c r="X22" s="41"/>
      <c r="Y22" s="41"/>
      <c r="Z22" s="41"/>
      <c r="AA22" s="43"/>
      <c r="AB22" s="22">
        <f t="shared" si="0"/>
        <v>0</v>
      </c>
      <c r="AC22" s="44">
        <f t="shared" si="1"/>
        <v>0</v>
      </c>
      <c r="AD22" s="45">
        <f t="shared" si="2"/>
        <v>0</v>
      </c>
      <c r="AE22" s="44">
        <f t="shared" si="3"/>
        <v>0</v>
      </c>
      <c r="AF22" s="159" t="str">
        <f t="shared" si="4"/>
        <v/>
      </c>
      <c r="AG22" s="1"/>
      <c r="AH22" s="1"/>
    </row>
    <row r="23" spans="1:34" ht="19.5" customHeight="1">
      <c r="A23" s="26">
        <v>12</v>
      </c>
      <c r="B23" s="27"/>
      <c r="C23" s="103"/>
      <c r="D23" s="31"/>
      <c r="E23" s="31"/>
      <c r="F23" s="32"/>
      <c r="G23" s="33"/>
      <c r="H23" s="103"/>
      <c r="I23" s="31"/>
      <c r="J23" s="31"/>
      <c r="K23" s="31"/>
      <c r="L23" s="33"/>
      <c r="M23" s="30"/>
      <c r="N23" s="31"/>
      <c r="O23" s="31"/>
      <c r="P23" s="31"/>
      <c r="Q23" s="31"/>
      <c r="R23" s="103"/>
      <c r="S23" s="31"/>
      <c r="T23" s="31"/>
      <c r="U23" s="31"/>
      <c r="V23" s="33"/>
      <c r="W23" s="103"/>
      <c r="X23" s="31"/>
      <c r="Y23" s="31"/>
      <c r="Z23" s="31"/>
      <c r="AA23" s="33"/>
      <c r="AB23" s="34">
        <f t="shared" si="0"/>
        <v>0</v>
      </c>
      <c r="AC23" s="35">
        <f t="shared" si="1"/>
        <v>0</v>
      </c>
      <c r="AD23" s="36">
        <f t="shared" si="2"/>
        <v>0</v>
      </c>
      <c r="AE23" s="35">
        <f t="shared" si="3"/>
        <v>0</v>
      </c>
      <c r="AF23" s="159" t="str">
        <f t="shared" si="4"/>
        <v/>
      </c>
      <c r="AG23" s="1"/>
      <c r="AH23" s="1"/>
    </row>
    <row r="24" spans="1:34" ht="19.5" customHeight="1">
      <c r="A24" s="37">
        <v>13</v>
      </c>
      <c r="B24" s="46"/>
      <c r="C24" s="106"/>
      <c r="D24" s="41"/>
      <c r="E24" s="41"/>
      <c r="F24" s="42"/>
      <c r="G24" s="43"/>
      <c r="H24" s="106"/>
      <c r="I24" s="41"/>
      <c r="J24" s="41"/>
      <c r="K24" s="41"/>
      <c r="L24" s="43"/>
      <c r="M24" s="40"/>
      <c r="N24" s="41"/>
      <c r="O24" s="41"/>
      <c r="P24" s="41"/>
      <c r="Q24" s="41"/>
      <c r="R24" s="106"/>
      <c r="S24" s="41"/>
      <c r="T24" s="41"/>
      <c r="U24" s="41"/>
      <c r="V24" s="43"/>
      <c r="W24" s="106"/>
      <c r="X24" s="41"/>
      <c r="Y24" s="41"/>
      <c r="Z24" s="41"/>
      <c r="AA24" s="43"/>
      <c r="AB24" s="22">
        <f t="shared" si="0"/>
        <v>0</v>
      </c>
      <c r="AC24" s="44">
        <f t="shared" si="1"/>
        <v>0</v>
      </c>
      <c r="AD24" s="45">
        <f t="shared" si="2"/>
        <v>0</v>
      </c>
      <c r="AE24" s="44">
        <f t="shared" si="3"/>
        <v>0</v>
      </c>
      <c r="AF24" s="159" t="str">
        <f t="shared" si="4"/>
        <v/>
      </c>
      <c r="AG24" s="1"/>
      <c r="AH24" s="1"/>
    </row>
    <row r="25" spans="1:34" ht="19.5" customHeight="1">
      <c r="A25" s="26">
        <v>14</v>
      </c>
      <c r="B25" s="27"/>
      <c r="C25" s="103"/>
      <c r="D25" s="31"/>
      <c r="E25" s="31"/>
      <c r="F25" s="32"/>
      <c r="G25" s="33"/>
      <c r="H25" s="103"/>
      <c r="I25" s="31"/>
      <c r="J25" s="31"/>
      <c r="K25" s="31"/>
      <c r="L25" s="33"/>
      <c r="M25" s="30"/>
      <c r="N25" s="31"/>
      <c r="O25" s="31"/>
      <c r="P25" s="31"/>
      <c r="Q25" s="31"/>
      <c r="R25" s="103"/>
      <c r="S25" s="31"/>
      <c r="T25" s="31"/>
      <c r="U25" s="31"/>
      <c r="V25" s="33"/>
      <c r="W25" s="103"/>
      <c r="X25" s="31"/>
      <c r="Y25" s="31"/>
      <c r="Z25" s="31"/>
      <c r="AA25" s="33"/>
      <c r="AB25" s="34">
        <f t="shared" si="0"/>
        <v>0</v>
      </c>
      <c r="AC25" s="35">
        <f t="shared" si="1"/>
        <v>0</v>
      </c>
      <c r="AD25" s="36">
        <f t="shared" si="2"/>
        <v>0</v>
      </c>
      <c r="AE25" s="35">
        <f t="shared" si="3"/>
        <v>0</v>
      </c>
      <c r="AF25" s="159" t="str">
        <f t="shared" si="4"/>
        <v/>
      </c>
      <c r="AG25" s="1"/>
      <c r="AH25" s="1"/>
    </row>
    <row r="26" spans="1:34" ht="19.5" customHeight="1">
      <c r="A26" s="37">
        <v>15</v>
      </c>
      <c r="B26" s="46"/>
      <c r="C26" s="106"/>
      <c r="D26" s="41"/>
      <c r="E26" s="41"/>
      <c r="F26" s="42"/>
      <c r="G26" s="43"/>
      <c r="H26" s="106"/>
      <c r="I26" s="41"/>
      <c r="J26" s="41"/>
      <c r="K26" s="41"/>
      <c r="L26" s="43"/>
      <c r="M26" s="40"/>
      <c r="N26" s="41"/>
      <c r="O26" s="41"/>
      <c r="P26" s="41"/>
      <c r="Q26" s="41"/>
      <c r="R26" s="106"/>
      <c r="S26" s="41"/>
      <c r="T26" s="41"/>
      <c r="U26" s="41"/>
      <c r="V26" s="43"/>
      <c r="W26" s="106"/>
      <c r="X26" s="41"/>
      <c r="Y26" s="41"/>
      <c r="Z26" s="41"/>
      <c r="AA26" s="43"/>
      <c r="AB26" s="22">
        <f t="shared" si="0"/>
        <v>0</v>
      </c>
      <c r="AC26" s="44">
        <f t="shared" si="1"/>
        <v>0</v>
      </c>
      <c r="AD26" s="45">
        <f t="shared" si="2"/>
        <v>0</v>
      </c>
      <c r="AE26" s="44">
        <f t="shared" si="3"/>
        <v>0</v>
      </c>
      <c r="AF26" s="159" t="str">
        <f t="shared" si="4"/>
        <v/>
      </c>
      <c r="AG26" s="1"/>
      <c r="AH26" s="107"/>
    </row>
    <row r="27" spans="1:34" ht="19.5" customHeight="1">
      <c r="A27" s="26">
        <v>16</v>
      </c>
      <c r="B27" s="27"/>
      <c r="C27" s="103"/>
      <c r="D27" s="31"/>
      <c r="E27" s="31"/>
      <c r="F27" s="32"/>
      <c r="G27" s="33"/>
      <c r="H27" s="103"/>
      <c r="I27" s="31"/>
      <c r="J27" s="31"/>
      <c r="K27" s="31"/>
      <c r="L27" s="33"/>
      <c r="M27" s="30"/>
      <c r="N27" s="31"/>
      <c r="O27" s="31"/>
      <c r="P27" s="31"/>
      <c r="Q27" s="31"/>
      <c r="R27" s="103"/>
      <c r="S27" s="31"/>
      <c r="T27" s="31"/>
      <c r="U27" s="31"/>
      <c r="V27" s="33"/>
      <c r="W27" s="103"/>
      <c r="X27" s="31"/>
      <c r="Y27" s="31"/>
      <c r="Z27" s="31"/>
      <c r="AA27" s="33"/>
      <c r="AB27" s="34">
        <f t="shared" si="0"/>
        <v>0</v>
      </c>
      <c r="AC27" s="35">
        <f t="shared" si="1"/>
        <v>0</v>
      </c>
      <c r="AD27" s="36">
        <f t="shared" si="2"/>
        <v>0</v>
      </c>
      <c r="AE27" s="35">
        <f t="shared" si="3"/>
        <v>0</v>
      </c>
      <c r="AF27" s="159" t="str">
        <f t="shared" si="4"/>
        <v/>
      </c>
      <c r="AG27" s="1"/>
      <c r="AH27" s="1"/>
    </row>
    <row r="28" spans="1:34" ht="19.5" customHeight="1">
      <c r="A28" s="37">
        <v>17</v>
      </c>
      <c r="B28" s="46"/>
      <c r="C28" s="106"/>
      <c r="D28" s="41"/>
      <c r="E28" s="41"/>
      <c r="F28" s="42"/>
      <c r="G28" s="43"/>
      <c r="H28" s="106"/>
      <c r="I28" s="41"/>
      <c r="J28" s="41"/>
      <c r="K28" s="41"/>
      <c r="L28" s="43"/>
      <c r="M28" s="40"/>
      <c r="N28" s="41"/>
      <c r="O28" s="41"/>
      <c r="P28" s="41"/>
      <c r="Q28" s="41"/>
      <c r="R28" s="106"/>
      <c r="S28" s="41"/>
      <c r="T28" s="41"/>
      <c r="U28" s="41"/>
      <c r="V28" s="43"/>
      <c r="W28" s="106"/>
      <c r="X28" s="41"/>
      <c r="Y28" s="41"/>
      <c r="Z28" s="41"/>
      <c r="AA28" s="43"/>
      <c r="AB28" s="22">
        <f t="shared" si="0"/>
        <v>0</v>
      </c>
      <c r="AC28" s="44">
        <f t="shared" si="1"/>
        <v>0</v>
      </c>
      <c r="AD28" s="45">
        <f t="shared" si="2"/>
        <v>0</v>
      </c>
      <c r="AE28" s="44">
        <f t="shared" si="3"/>
        <v>0</v>
      </c>
      <c r="AF28" s="159" t="str">
        <f t="shared" si="4"/>
        <v/>
      </c>
      <c r="AG28" s="1"/>
      <c r="AH28" s="1"/>
    </row>
    <row r="29" spans="1:34" ht="19.5" customHeight="1">
      <c r="A29" s="26">
        <v>18</v>
      </c>
      <c r="B29" s="27"/>
      <c r="C29" s="103"/>
      <c r="D29" s="31"/>
      <c r="E29" s="31"/>
      <c r="F29" s="32"/>
      <c r="G29" s="33"/>
      <c r="H29" s="103"/>
      <c r="I29" s="31"/>
      <c r="J29" s="31"/>
      <c r="K29" s="31"/>
      <c r="L29" s="33"/>
      <c r="M29" s="30"/>
      <c r="N29" s="31"/>
      <c r="O29" s="31"/>
      <c r="P29" s="31"/>
      <c r="Q29" s="31"/>
      <c r="R29" s="103"/>
      <c r="S29" s="31"/>
      <c r="T29" s="31"/>
      <c r="U29" s="31"/>
      <c r="V29" s="33"/>
      <c r="W29" s="103"/>
      <c r="X29" s="31"/>
      <c r="Y29" s="31"/>
      <c r="Z29" s="31"/>
      <c r="AA29" s="33"/>
      <c r="AB29" s="34">
        <f t="shared" si="0"/>
        <v>0</v>
      </c>
      <c r="AC29" s="35">
        <f t="shared" si="1"/>
        <v>0</v>
      </c>
      <c r="AD29" s="36">
        <f t="shared" si="2"/>
        <v>0</v>
      </c>
      <c r="AE29" s="35">
        <f t="shared" si="3"/>
        <v>0</v>
      </c>
      <c r="AF29" s="159" t="str">
        <f t="shared" si="4"/>
        <v/>
      </c>
      <c r="AG29" s="1"/>
      <c r="AH29" s="1"/>
    </row>
    <row r="30" spans="1:34" ht="19.5" customHeight="1">
      <c r="A30" s="37">
        <v>19</v>
      </c>
      <c r="B30" s="46"/>
      <c r="C30" s="106"/>
      <c r="D30" s="41"/>
      <c r="E30" s="41"/>
      <c r="F30" s="42"/>
      <c r="G30" s="43"/>
      <c r="H30" s="106"/>
      <c r="I30" s="41"/>
      <c r="J30" s="41"/>
      <c r="K30" s="41"/>
      <c r="L30" s="43"/>
      <c r="M30" s="40"/>
      <c r="N30" s="41"/>
      <c r="O30" s="41"/>
      <c r="P30" s="41"/>
      <c r="Q30" s="41"/>
      <c r="R30" s="106"/>
      <c r="S30" s="41"/>
      <c r="T30" s="41"/>
      <c r="U30" s="41"/>
      <c r="V30" s="43"/>
      <c r="W30" s="106"/>
      <c r="X30" s="41"/>
      <c r="Y30" s="41"/>
      <c r="Z30" s="41"/>
      <c r="AA30" s="43"/>
      <c r="AB30" s="22">
        <f t="shared" si="0"/>
        <v>0</v>
      </c>
      <c r="AC30" s="44">
        <f t="shared" si="1"/>
        <v>0</v>
      </c>
      <c r="AD30" s="45">
        <f t="shared" si="2"/>
        <v>0</v>
      </c>
      <c r="AE30" s="44">
        <f t="shared" si="3"/>
        <v>0</v>
      </c>
      <c r="AF30" s="159" t="str">
        <f t="shared" si="4"/>
        <v/>
      </c>
      <c r="AG30" s="1"/>
      <c r="AH30" s="1"/>
    </row>
    <row r="31" spans="1:34" ht="19.5" customHeight="1">
      <c r="A31" s="26">
        <v>20</v>
      </c>
      <c r="B31" s="27"/>
      <c r="C31" s="103"/>
      <c r="D31" s="31"/>
      <c r="E31" s="31"/>
      <c r="F31" s="32"/>
      <c r="G31" s="33"/>
      <c r="H31" s="103"/>
      <c r="I31" s="31"/>
      <c r="J31" s="31"/>
      <c r="K31" s="31"/>
      <c r="L31" s="33"/>
      <c r="M31" s="30"/>
      <c r="N31" s="31"/>
      <c r="O31" s="31"/>
      <c r="P31" s="31"/>
      <c r="Q31" s="31"/>
      <c r="R31" s="103"/>
      <c r="S31" s="31"/>
      <c r="T31" s="31"/>
      <c r="U31" s="31"/>
      <c r="V31" s="33"/>
      <c r="W31" s="103"/>
      <c r="X31" s="31"/>
      <c r="Y31" s="31"/>
      <c r="Z31" s="31"/>
      <c r="AA31" s="33"/>
      <c r="AB31" s="34">
        <f t="shared" si="0"/>
        <v>0</v>
      </c>
      <c r="AC31" s="35">
        <f t="shared" si="1"/>
        <v>0</v>
      </c>
      <c r="AD31" s="36">
        <f t="shared" si="2"/>
        <v>0</v>
      </c>
      <c r="AE31" s="35">
        <f t="shared" si="3"/>
        <v>0</v>
      </c>
      <c r="AF31" s="159" t="str">
        <f t="shared" si="4"/>
        <v/>
      </c>
      <c r="AG31" s="1"/>
      <c r="AH31" s="1"/>
    </row>
    <row r="32" spans="1:34" ht="19.5" customHeight="1">
      <c r="A32" s="37">
        <v>21</v>
      </c>
      <c r="B32" s="46"/>
      <c r="C32" s="106"/>
      <c r="D32" s="41"/>
      <c r="E32" s="41"/>
      <c r="F32" s="42"/>
      <c r="G32" s="43"/>
      <c r="H32" s="106"/>
      <c r="I32" s="41"/>
      <c r="J32" s="41"/>
      <c r="K32" s="41"/>
      <c r="L32" s="43"/>
      <c r="M32" s="40"/>
      <c r="N32" s="41"/>
      <c r="O32" s="41"/>
      <c r="P32" s="41"/>
      <c r="Q32" s="41"/>
      <c r="R32" s="106"/>
      <c r="S32" s="41"/>
      <c r="T32" s="41"/>
      <c r="U32" s="41"/>
      <c r="V32" s="43"/>
      <c r="W32" s="106"/>
      <c r="X32" s="41"/>
      <c r="Y32" s="41"/>
      <c r="Z32" s="41"/>
      <c r="AA32" s="43"/>
      <c r="AB32" s="22">
        <f t="shared" si="0"/>
        <v>0</v>
      </c>
      <c r="AC32" s="44">
        <f t="shared" si="1"/>
        <v>0</v>
      </c>
      <c r="AD32" s="45">
        <f t="shared" si="2"/>
        <v>0</v>
      </c>
      <c r="AE32" s="44">
        <f t="shared" si="3"/>
        <v>0</v>
      </c>
      <c r="AF32" s="159" t="str">
        <f t="shared" si="4"/>
        <v/>
      </c>
      <c r="AG32" s="1"/>
      <c r="AH32" s="1"/>
    </row>
    <row r="33" spans="1:34" ht="19.5" customHeight="1">
      <c r="A33" s="26">
        <v>22</v>
      </c>
      <c r="B33" s="27"/>
      <c r="C33" s="103"/>
      <c r="D33" s="31"/>
      <c r="E33" s="31"/>
      <c r="F33" s="32"/>
      <c r="G33" s="33"/>
      <c r="H33" s="103"/>
      <c r="I33" s="31"/>
      <c r="J33" s="31"/>
      <c r="K33" s="31"/>
      <c r="L33" s="33"/>
      <c r="M33" s="30"/>
      <c r="N33" s="31"/>
      <c r="O33" s="31"/>
      <c r="P33" s="31"/>
      <c r="Q33" s="31"/>
      <c r="R33" s="103"/>
      <c r="S33" s="31"/>
      <c r="T33" s="31"/>
      <c r="U33" s="31"/>
      <c r="V33" s="33"/>
      <c r="W33" s="103"/>
      <c r="X33" s="31"/>
      <c r="Y33" s="31"/>
      <c r="Z33" s="31"/>
      <c r="AA33" s="33"/>
      <c r="AB33" s="34">
        <f t="shared" si="0"/>
        <v>0</v>
      </c>
      <c r="AC33" s="35">
        <f t="shared" si="1"/>
        <v>0</v>
      </c>
      <c r="AD33" s="36">
        <f t="shared" si="2"/>
        <v>0</v>
      </c>
      <c r="AE33" s="35">
        <f t="shared" si="3"/>
        <v>0</v>
      </c>
      <c r="AF33" s="159" t="str">
        <f t="shared" si="4"/>
        <v/>
      </c>
      <c r="AG33" s="1"/>
      <c r="AH33" s="1"/>
    </row>
    <row r="34" spans="1:34" ht="19.5" customHeight="1">
      <c r="A34" s="37">
        <v>23</v>
      </c>
      <c r="B34" s="46"/>
      <c r="C34" s="106"/>
      <c r="D34" s="41"/>
      <c r="E34" s="41"/>
      <c r="F34" s="42"/>
      <c r="G34" s="43"/>
      <c r="H34" s="106"/>
      <c r="I34" s="41"/>
      <c r="J34" s="41"/>
      <c r="K34" s="41"/>
      <c r="L34" s="43"/>
      <c r="M34" s="40"/>
      <c r="N34" s="41"/>
      <c r="O34" s="41"/>
      <c r="P34" s="41"/>
      <c r="Q34" s="41"/>
      <c r="R34" s="106"/>
      <c r="S34" s="41"/>
      <c r="T34" s="41"/>
      <c r="U34" s="41"/>
      <c r="V34" s="43"/>
      <c r="W34" s="106"/>
      <c r="X34" s="41"/>
      <c r="Y34" s="41"/>
      <c r="Z34" s="41"/>
      <c r="AA34" s="43"/>
      <c r="AB34" s="22">
        <f t="shared" si="0"/>
        <v>0</v>
      </c>
      <c r="AC34" s="44">
        <f t="shared" si="1"/>
        <v>0</v>
      </c>
      <c r="AD34" s="45">
        <f t="shared" si="2"/>
        <v>0</v>
      </c>
      <c r="AE34" s="44">
        <f t="shared" si="3"/>
        <v>0</v>
      </c>
      <c r="AF34" s="159" t="str">
        <f t="shared" si="4"/>
        <v/>
      </c>
      <c r="AG34" s="1"/>
      <c r="AH34" s="1"/>
    </row>
    <row r="35" spans="1:34" ht="19.5" customHeight="1">
      <c r="A35" s="26">
        <v>24</v>
      </c>
      <c r="B35" s="27"/>
      <c r="C35" s="103"/>
      <c r="D35" s="31"/>
      <c r="E35" s="31"/>
      <c r="F35" s="32"/>
      <c r="G35" s="33"/>
      <c r="H35" s="103"/>
      <c r="I35" s="31"/>
      <c r="J35" s="31"/>
      <c r="K35" s="31"/>
      <c r="L35" s="33"/>
      <c r="M35" s="30"/>
      <c r="N35" s="31"/>
      <c r="O35" s="31"/>
      <c r="P35" s="31"/>
      <c r="Q35" s="31"/>
      <c r="R35" s="103"/>
      <c r="S35" s="31"/>
      <c r="T35" s="31"/>
      <c r="U35" s="31"/>
      <c r="V35" s="33"/>
      <c r="W35" s="103"/>
      <c r="X35" s="31"/>
      <c r="Y35" s="31"/>
      <c r="Z35" s="31"/>
      <c r="AA35" s="33"/>
      <c r="AB35" s="34">
        <f t="shared" si="0"/>
        <v>0</v>
      </c>
      <c r="AC35" s="35">
        <f t="shared" si="1"/>
        <v>0</v>
      </c>
      <c r="AD35" s="36">
        <f t="shared" si="2"/>
        <v>0</v>
      </c>
      <c r="AE35" s="35">
        <f t="shared" si="3"/>
        <v>0</v>
      </c>
      <c r="AF35" s="159" t="str">
        <f t="shared" si="4"/>
        <v/>
      </c>
      <c r="AG35" s="1"/>
      <c r="AH35" s="1"/>
    </row>
    <row r="36" spans="1:34" ht="19.5" customHeight="1">
      <c r="A36" s="37">
        <v>25</v>
      </c>
      <c r="B36" s="46"/>
      <c r="C36" s="106"/>
      <c r="D36" s="41"/>
      <c r="E36" s="41"/>
      <c r="F36" s="42"/>
      <c r="G36" s="43"/>
      <c r="H36" s="106"/>
      <c r="I36" s="41"/>
      <c r="J36" s="41"/>
      <c r="K36" s="41"/>
      <c r="L36" s="43"/>
      <c r="M36" s="40"/>
      <c r="N36" s="41"/>
      <c r="O36" s="41"/>
      <c r="P36" s="41"/>
      <c r="Q36" s="41"/>
      <c r="R36" s="106"/>
      <c r="S36" s="41"/>
      <c r="T36" s="41"/>
      <c r="U36" s="41"/>
      <c r="V36" s="43"/>
      <c r="W36" s="106"/>
      <c r="X36" s="41"/>
      <c r="Y36" s="41"/>
      <c r="Z36" s="41"/>
      <c r="AA36" s="43"/>
      <c r="AB36" s="22">
        <f t="shared" si="0"/>
        <v>0</v>
      </c>
      <c r="AC36" s="44">
        <f t="shared" si="1"/>
        <v>0</v>
      </c>
      <c r="AD36" s="45">
        <f t="shared" si="2"/>
        <v>0</v>
      </c>
      <c r="AE36" s="44">
        <f t="shared" si="3"/>
        <v>0</v>
      </c>
      <c r="AF36" s="159" t="str">
        <f t="shared" si="4"/>
        <v/>
      </c>
      <c r="AG36" s="1"/>
      <c r="AH36" s="1"/>
    </row>
    <row r="37" spans="1:34" ht="19.5" customHeight="1">
      <c r="A37" s="26">
        <v>26</v>
      </c>
      <c r="B37" s="27"/>
      <c r="C37" s="103"/>
      <c r="D37" s="31"/>
      <c r="E37" s="31"/>
      <c r="F37" s="32"/>
      <c r="G37" s="33"/>
      <c r="H37" s="103"/>
      <c r="I37" s="31"/>
      <c r="J37" s="31"/>
      <c r="K37" s="31"/>
      <c r="L37" s="33"/>
      <c r="M37" s="30"/>
      <c r="N37" s="31"/>
      <c r="O37" s="31"/>
      <c r="P37" s="31"/>
      <c r="Q37" s="31"/>
      <c r="R37" s="103"/>
      <c r="S37" s="31"/>
      <c r="T37" s="31"/>
      <c r="U37" s="31"/>
      <c r="V37" s="33"/>
      <c r="W37" s="103"/>
      <c r="X37" s="31"/>
      <c r="Y37" s="31"/>
      <c r="Z37" s="31"/>
      <c r="AA37" s="33"/>
      <c r="AB37" s="34">
        <f t="shared" si="0"/>
        <v>0</v>
      </c>
      <c r="AC37" s="35">
        <f t="shared" si="1"/>
        <v>0</v>
      </c>
      <c r="AD37" s="36">
        <f t="shared" si="2"/>
        <v>0</v>
      </c>
      <c r="AE37" s="35">
        <f t="shared" si="3"/>
        <v>0</v>
      </c>
      <c r="AF37" s="159" t="str">
        <f t="shared" si="4"/>
        <v/>
      </c>
      <c r="AG37" s="1"/>
      <c r="AH37" s="1"/>
    </row>
    <row r="38" spans="1:34" ht="19.5" customHeight="1">
      <c r="A38" s="37">
        <v>27</v>
      </c>
      <c r="B38" s="46"/>
      <c r="C38" s="106"/>
      <c r="D38" s="41"/>
      <c r="E38" s="41"/>
      <c r="F38" s="42"/>
      <c r="G38" s="43"/>
      <c r="H38" s="106"/>
      <c r="I38" s="41"/>
      <c r="J38" s="41"/>
      <c r="K38" s="41"/>
      <c r="L38" s="43"/>
      <c r="M38" s="40"/>
      <c r="N38" s="41"/>
      <c r="O38" s="41"/>
      <c r="P38" s="41"/>
      <c r="Q38" s="41"/>
      <c r="R38" s="106"/>
      <c r="S38" s="41"/>
      <c r="T38" s="41"/>
      <c r="U38" s="41"/>
      <c r="V38" s="43"/>
      <c r="W38" s="106"/>
      <c r="X38" s="41"/>
      <c r="Y38" s="41"/>
      <c r="Z38" s="41"/>
      <c r="AA38" s="43"/>
      <c r="AB38" s="22">
        <f t="shared" si="0"/>
        <v>0</v>
      </c>
      <c r="AC38" s="44">
        <f t="shared" si="1"/>
        <v>0</v>
      </c>
      <c r="AD38" s="45">
        <f t="shared" si="2"/>
        <v>0</v>
      </c>
      <c r="AE38" s="44">
        <f t="shared" si="3"/>
        <v>0</v>
      </c>
      <c r="AF38" s="159" t="str">
        <f t="shared" si="4"/>
        <v/>
      </c>
      <c r="AG38" s="1"/>
      <c r="AH38" s="1"/>
    </row>
    <row r="39" spans="1:34" ht="19.5" customHeight="1">
      <c r="A39" s="26">
        <v>28</v>
      </c>
      <c r="B39" s="27"/>
      <c r="C39" s="103"/>
      <c r="D39" s="31"/>
      <c r="E39" s="31"/>
      <c r="F39" s="32"/>
      <c r="G39" s="33"/>
      <c r="H39" s="103"/>
      <c r="I39" s="31"/>
      <c r="J39" s="31"/>
      <c r="K39" s="31"/>
      <c r="L39" s="33"/>
      <c r="M39" s="30"/>
      <c r="N39" s="31"/>
      <c r="O39" s="31"/>
      <c r="P39" s="31"/>
      <c r="Q39" s="31"/>
      <c r="R39" s="103"/>
      <c r="S39" s="31"/>
      <c r="T39" s="31"/>
      <c r="U39" s="31"/>
      <c r="V39" s="33"/>
      <c r="W39" s="103"/>
      <c r="X39" s="31"/>
      <c r="Y39" s="31"/>
      <c r="Z39" s="31"/>
      <c r="AA39" s="33"/>
      <c r="AB39" s="34">
        <f t="shared" si="0"/>
        <v>0</v>
      </c>
      <c r="AC39" s="35">
        <f t="shared" si="1"/>
        <v>0</v>
      </c>
      <c r="AD39" s="36">
        <f t="shared" si="2"/>
        <v>0</v>
      </c>
      <c r="AE39" s="35">
        <f t="shared" si="3"/>
        <v>0</v>
      </c>
      <c r="AF39" s="159" t="str">
        <f t="shared" si="4"/>
        <v/>
      </c>
      <c r="AG39" s="1"/>
      <c r="AH39" s="1"/>
    </row>
    <row r="40" spans="1:34" ht="19.5" customHeight="1">
      <c r="A40" s="37">
        <v>29</v>
      </c>
      <c r="B40" s="46"/>
      <c r="C40" s="106"/>
      <c r="D40" s="41"/>
      <c r="E40" s="41"/>
      <c r="F40" s="42"/>
      <c r="G40" s="43"/>
      <c r="H40" s="106"/>
      <c r="I40" s="41"/>
      <c r="J40" s="41"/>
      <c r="K40" s="41"/>
      <c r="L40" s="43"/>
      <c r="M40" s="40"/>
      <c r="N40" s="41"/>
      <c r="O40" s="41"/>
      <c r="P40" s="41"/>
      <c r="Q40" s="41"/>
      <c r="R40" s="106"/>
      <c r="S40" s="41"/>
      <c r="T40" s="41"/>
      <c r="U40" s="41"/>
      <c r="V40" s="43"/>
      <c r="W40" s="106"/>
      <c r="X40" s="41"/>
      <c r="Y40" s="41"/>
      <c r="Z40" s="41"/>
      <c r="AA40" s="43"/>
      <c r="AB40" s="22">
        <f t="shared" si="0"/>
        <v>0</v>
      </c>
      <c r="AC40" s="44">
        <f t="shared" si="1"/>
        <v>0</v>
      </c>
      <c r="AD40" s="45">
        <f t="shared" si="2"/>
        <v>0</v>
      </c>
      <c r="AE40" s="44">
        <f t="shared" si="3"/>
        <v>0</v>
      </c>
      <c r="AF40" s="159" t="str">
        <f t="shared" si="4"/>
        <v/>
      </c>
      <c r="AG40" s="1"/>
      <c r="AH40" s="1"/>
    </row>
    <row r="41" spans="1:34" ht="19.5" customHeight="1">
      <c r="A41" s="26">
        <v>30</v>
      </c>
      <c r="B41" s="27"/>
      <c r="C41" s="103"/>
      <c r="D41" s="31"/>
      <c r="E41" s="31"/>
      <c r="F41" s="32"/>
      <c r="G41" s="33"/>
      <c r="H41" s="103"/>
      <c r="I41" s="31"/>
      <c r="J41" s="31"/>
      <c r="K41" s="31"/>
      <c r="L41" s="33"/>
      <c r="M41" s="30"/>
      <c r="N41" s="31"/>
      <c r="O41" s="31"/>
      <c r="P41" s="31"/>
      <c r="Q41" s="31"/>
      <c r="R41" s="103"/>
      <c r="S41" s="31"/>
      <c r="T41" s="31"/>
      <c r="U41" s="31"/>
      <c r="V41" s="33"/>
      <c r="W41" s="103"/>
      <c r="X41" s="31"/>
      <c r="Y41" s="31"/>
      <c r="Z41" s="31"/>
      <c r="AA41" s="33"/>
      <c r="AB41" s="34">
        <f t="shared" si="0"/>
        <v>0</v>
      </c>
      <c r="AC41" s="35">
        <f t="shared" si="1"/>
        <v>0</v>
      </c>
      <c r="AD41" s="36">
        <f t="shared" si="2"/>
        <v>0</v>
      </c>
      <c r="AE41" s="35">
        <f t="shared" si="3"/>
        <v>0</v>
      </c>
      <c r="AF41" s="159" t="str">
        <f t="shared" si="4"/>
        <v/>
      </c>
      <c r="AG41" s="1"/>
      <c r="AH41" s="1"/>
    </row>
    <row r="42" spans="1:34" ht="19.5" customHeight="1">
      <c r="A42" s="37">
        <v>31</v>
      </c>
      <c r="B42" s="46"/>
      <c r="C42" s="106"/>
      <c r="D42" s="41"/>
      <c r="E42" s="41"/>
      <c r="F42" s="42"/>
      <c r="G42" s="43"/>
      <c r="H42" s="106"/>
      <c r="I42" s="41"/>
      <c r="J42" s="41"/>
      <c r="K42" s="41"/>
      <c r="L42" s="43"/>
      <c r="M42" s="40"/>
      <c r="N42" s="41"/>
      <c r="O42" s="41"/>
      <c r="P42" s="41"/>
      <c r="Q42" s="41"/>
      <c r="R42" s="106"/>
      <c r="S42" s="41"/>
      <c r="T42" s="41"/>
      <c r="U42" s="41"/>
      <c r="V42" s="43"/>
      <c r="W42" s="106"/>
      <c r="X42" s="41"/>
      <c r="Y42" s="41"/>
      <c r="Z42" s="41"/>
      <c r="AA42" s="43"/>
      <c r="AB42" s="22">
        <f t="shared" si="0"/>
        <v>0</v>
      </c>
      <c r="AC42" s="44">
        <f t="shared" si="1"/>
        <v>0</v>
      </c>
      <c r="AD42" s="45">
        <f t="shared" si="2"/>
        <v>0</v>
      </c>
      <c r="AE42" s="44">
        <f t="shared" si="3"/>
        <v>0</v>
      </c>
      <c r="AF42" s="159" t="str">
        <f t="shared" si="4"/>
        <v/>
      </c>
      <c r="AG42" s="1"/>
      <c r="AH42" s="1"/>
    </row>
    <row r="43" spans="1:34" ht="19.5" customHeight="1">
      <c r="A43" s="26">
        <v>32</v>
      </c>
      <c r="B43" s="27"/>
      <c r="C43" s="103"/>
      <c r="D43" s="31"/>
      <c r="E43" s="31"/>
      <c r="F43" s="32"/>
      <c r="G43" s="33"/>
      <c r="H43" s="103"/>
      <c r="I43" s="31"/>
      <c r="J43" s="31"/>
      <c r="K43" s="31"/>
      <c r="L43" s="33"/>
      <c r="M43" s="30"/>
      <c r="N43" s="31"/>
      <c r="O43" s="31"/>
      <c r="P43" s="31"/>
      <c r="Q43" s="31"/>
      <c r="R43" s="103"/>
      <c r="S43" s="31"/>
      <c r="T43" s="31"/>
      <c r="U43" s="31"/>
      <c r="V43" s="33"/>
      <c r="W43" s="103"/>
      <c r="X43" s="31"/>
      <c r="Y43" s="31"/>
      <c r="Z43" s="31"/>
      <c r="AA43" s="33"/>
      <c r="AB43" s="34">
        <f t="shared" si="0"/>
        <v>0</v>
      </c>
      <c r="AC43" s="35">
        <f t="shared" si="1"/>
        <v>0</v>
      </c>
      <c r="AD43" s="36">
        <f t="shared" si="2"/>
        <v>0</v>
      </c>
      <c r="AE43" s="35">
        <f t="shared" si="3"/>
        <v>0</v>
      </c>
      <c r="AF43" s="159" t="str">
        <f t="shared" si="4"/>
        <v/>
      </c>
      <c r="AG43" s="1"/>
      <c r="AH43" s="1"/>
    </row>
    <row r="44" spans="1:34" ht="19.5" customHeight="1">
      <c r="A44" s="37">
        <v>33</v>
      </c>
      <c r="B44" s="46"/>
      <c r="C44" s="106"/>
      <c r="D44" s="41"/>
      <c r="E44" s="41"/>
      <c r="F44" s="42"/>
      <c r="G44" s="43"/>
      <c r="H44" s="106"/>
      <c r="I44" s="41"/>
      <c r="J44" s="41"/>
      <c r="K44" s="41"/>
      <c r="L44" s="43"/>
      <c r="M44" s="40"/>
      <c r="N44" s="41"/>
      <c r="O44" s="41"/>
      <c r="P44" s="41"/>
      <c r="Q44" s="41"/>
      <c r="R44" s="106"/>
      <c r="S44" s="41"/>
      <c r="T44" s="41"/>
      <c r="U44" s="41"/>
      <c r="V44" s="43"/>
      <c r="W44" s="106"/>
      <c r="X44" s="41"/>
      <c r="Y44" s="41"/>
      <c r="Z44" s="41"/>
      <c r="AA44" s="43"/>
      <c r="AB44" s="22">
        <f t="shared" si="0"/>
        <v>0</v>
      </c>
      <c r="AC44" s="44">
        <f t="shared" si="1"/>
        <v>0</v>
      </c>
      <c r="AD44" s="45">
        <f t="shared" si="2"/>
        <v>0</v>
      </c>
      <c r="AE44" s="44">
        <f t="shared" si="3"/>
        <v>0</v>
      </c>
      <c r="AF44" s="159" t="str">
        <f t="shared" si="4"/>
        <v/>
      </c>
      <c r="AG44" s="1"/>
      <c r="AH44" s="1"/>
    </row>
    <row r="45" spans="1:34" ht="19.5" customHeight="1">
      <c r="A45" s="26">
        <v>34</v>
      </c>
      <c r="B45" s="27"/>
      <c r="C45" s="103"/>
      <c r="D45" s="31"/>
      <c r="E45" s="31"/>
      <c r="F45" s="32"/>
      <c r="G45" s="33"/>
      <c r="H45" s="103"/>
      <c r="I45" s="31"/>
      <c r="J45" s="31"/>
      <c r="K45" s="31"/>
      <c r="L45" s="33"/>
      <c r="M45" s="30"/>
      <c r="N45" s="31"/>
      <c r="O45" s="31"/>
      <c r="P45" s="31"/>
      <c r="Q45" s="31"/>
      <c r="R45" s="103"/>
      <c r="S45" s="31"/>
      <c r="T45" s="31"/>
      <c r="U45" s="31"/>
      <c r="V45" s="33"/>
      <c r="W45" s="103"/>
      <c r="X45" s="31"/>
      <c r="Y45" s="31"/>
      <c r="Z45" s="31"/>
      <c r="AA45" s="33"/>
      <c r="AB45" s="34">
        <f t="shared" si="0"/>
        <v>0</v>
      </c>
      <c r="AC45" s="35">
        <f t="shared" si="1"/>
        <v>0</v>
      </c>
      <c r="AD45" s="36">
        <f t="shared" si="2"/>
        <v>0</v>
      </c>
      <c r="AE45" s="35">
        <f t="shared" si="3"/>
        <v>0</v>
      </c>
      <c r="AF45" s="159" t="str">
        <f t="shared" si="4"/>
        <v/>
      </c>
      <c r="AG45" s="1"/>
      <c r="AH45" s="1"/>
    </row>
    <row r="46" spans="1:34" ht="19.5" customHeight="1">
      <c r="A46" s="37">
        <v>35</v>
      </c>
      <c r="B46" s="46"/>
      <c r="C46" s="106"/>
      <c r="D46" s="41"/>
      <c r="E46" s="41"/>
      <c r="F46" s="42"/>
      <c r="G46" s="43"/>
      <c r="H46" s="106"/>
      <c r="I46" s="41"/>
      <c r="J46" s="41"/>
      <c r="K46" s="41"/>
      <c r="L46" s="43"/>
      <c r="M46" s="40"/>
      <c r="N46" s="41"/>
      <c r="O46" s="41"/>
      <c r="P46" s="41"/>
      <c r="Q46" s="41"/>
      <c r="R46" s="106"/>
      <c r="S46" s="41"/>
      <c r="T46" s="41"/>
      <c r="U46" s="41"/>
      <c r="V46" s="43"/>
      <c r="W46" s="106"/>
      <c r="X46" s="41"/>
      <c r="Y46" s="41"/>
      <c r="Z46" s="41"/>
      <c r="AA46" s="43"/>
      <c r="AB46" s="22">
        <f t="shared" si="0"/>
        <v>0</v>
      </c>
      <c r="AC46" s="44">
        <f t="shared" si="1"/>
        <v>0</v>
      </c>
      <c r="AD46" s="45">
        <f t="shared" si="2"/>
        <v>0</v>
      </c>
      <c r="AE46" s="44">
        <f t="shared" si="3"/>
        <v>0</v>
      </c>
      <c r="AF46" s="159" t="str">
        <f t="shared" si="4"/>
        <v/>
      </c>
      <c r="AG46" s="1"/>
      <c r="AH46" s="1"/>
    </row>
    <row r="47" spans="1:34" ht="19.5" customHeight="1">
      <c r="A47" s="26">
        <v>36</v>
      </c>
      <c r="B47" s="27"/>
      <c r="C47" s="103"/>
      <c r="D47" s="31"/>
      <c r="E47" s="31"/>
      <c r="F47" s="32"/>
      <c r="G47" s="33"/>
      <c r="H47" s="103"/>
      <c r="I47" s="31"/>
      <c r="J47" s="31"/>
      <c r="K47" s="31"/>
      <c r="L47" s="33"/>
      <c r="M47" s="30"/>
      <c r="N47" s="31"/>
      <c r="O47" s="31"/>
      <c r="P47" s="31"/>
      <c r="Q47" s="31"/>
      <c r="R47" s="103"/>
      <c r="S47" s="31"/>
      <c r="T47" s="31"/>
      <c r="U47" s="31"/>
      <c r="V47" s="33"/>
      <c r="W47" s="103"/>
      <c r="X47" s="31"/>
      <c r="Y47" s="31"/>
      <c r="Z47" s="31"/>
      <c r="AA47" s="33"/>
      <c r="AB47" s="34">
        <f t="shared" si="0"/>
        <v>0</v>
      </c>
      <c r="AC47" s="35">
        <f t="shared" si="1"/>
        <v>0</v>
      </c>
      <c r="AD47" s="36">
        <f t="shared" si="2"/>
        <v>0</v>
      </c>
      <c r="AE47" s="35">
        <f t="shared" si="3"/>
        <v>0</v>
      </c>
      <c r="AF47" s="159" t="str">
        <f t="shared" si="4"/>
        <v/>
      </c>
      <c r="AG47" s="1"/>
      <c r="AH47" s="1"/>
    </row>
    <row r="48" spans="1:34" ht="19.5" customHeight="1">
      <c r="A48" s="37">
        <v>37</v>
      </c>
      <c r="B48" s="46"/>
      <c r="C48" s="106"/>
      <c r="D48" s="41"/>
      <c r="E48" s="41"/>
      <c r="F48" s="42"/>
      <c r="G48" s="43"/>
      <c r="H48" s="106"/>
      <c r="I48" s="41"/>
      <c r="J48" s="41"/>
      <c r="K48" s="41"/>
      <c r="L48" s="43"/>
      <c r="M48" s="40"/>
      <c r="N48" s="41"/>
      <c r="O48" s="41"/>
      <c r="P48" s="41"/>
      <c r="Q48" s="41"/>
      <c r="R48" s="106"/>
      <c r="S48" s="41"/>
      <c r="T48" s="41"/>
      <c r="U48" s="41"/>
      <c r="V48" s="43"/>
      <c r="W48" s="106"/>
      <c r="X48" s="41"/>
      <c r="Y48" s="41"/>
      <c r="Z48" s="41"/>
      <c r="AA48" s="43"/>
      <c r="AB48" s="22">
        <f t="shared" si="0"/>
        <v>0</v>
      </c>
      <c r="AC48" s="44">
        <f t="shared" si="1"/>
        <v>0</v>
      </c>
      <c r="AD48" s="45">
        <f t="shared" si="2"/>
        <v>0</v>
      </c>
      <c r="AE48" s="44">
        <f t="shared" si="3"/>
        <v>0</v>
      </c>
      <c r="AF48" s="159" t="str">
        <f t="shared" si="4"/>
        <v/>
      </c>
      <c r="AG48" s="1"/>
      <c r="AH48" s="1"/>
    </row>
    <row r="49" spans="1:34" ht="19.5" customHeight="1">
      <c r="A49" s="26">
        <v>38</v>
      </c>
      <c r="B49" s="27"/>
      <c r="C49" s="103"/>
      <c r="D49" s="31"/>
      <c r="E49" s="31"/>
      <c r="F49" s="32"/>
      <c r="G49" s="33"/>
      <c r="H49" s="103"/>
      <c r="I49" s="31"/>
      <c r="J49" s="31"/>
      <c r="K49" s="31"/>
      <c r="L49" s="33"/>
      <c r="M49" s="30"/>
      <c r="N49" s="31"/>
      <c r="O49" s="31"/>
      <c r="P49" s="31"/>
      <c r="Q49" s="31"/>
      <c r="R49" s="103"/>
      <c r="S49" s="31"/>
      <c r="T49" s="31"/>
      <c r="U49" s="31"/>
      <c r="V49" s="33"/>
      <c r="W49" s="103"/>
      <c r="X49" s="31"/>
      <c r="Y49" s="31"/>
      <c r="Z49" s="31"/>
      <c r="AA49" s="33"/>
      <c r="AB49" s="34">
        <f t="shared" si="0"/>
        <v>0</v>
      </c>
      <c r="AC49" s="35">
        <f t="shared" si="1"/>
        <v>0</v>
      </c>
      <c r="AD49" s="36">
        <f t="shared" si="2"/>
        <v>0</v>
      </c>
      <c r="AE49" s="35">
        <f t="shared" si="3"/>
        <v>0</v>
      </c>
      <c r="AF49" s="159" t="str">
        <f t="shared" si="4"/>
        <v/>
      </c>
      <c r="AG49" s="1"/>
      <c r="AH49" s="1"/>
    </row>
    <row r="50" spans="1:34" ht="19.5" customHeight="1">
      <c r="A50" s="37">
        <v>39</v>
      </c>
      <c r="B50" s="46"/>
      <c r="C50" s="106"/>
      <c r="D50" s="41"/>
      <c r="E50" s="41"/>
      <c r="F50" s="42"/>
      <c r="G50" s="43"/>
      <c r="H50" s="106"/>
      <c r="I50" s="41"/>
      <c r="J50" s="41"/>
      <c r="K50" s="41"/>
      <c r="L50" s="43"/>
      <c r="M50" s="40"/>
      <c r="N50" s="41"/>
      <c r="O50" s="41"/>
      <c r="P50" s="41"/>
      <c r="Q50" s="41"/>
      <c r="R50" s="106"/>
      <c r="S50" s="41"/>
      <c r="T50" s="41"/>
      <c r="U50" s="41"/>
      <c r="V50" s="43"/>
      <c r="W50" s="106"/>
      <c r="X50" s="41"/>
      <c r="Y50" s="41"/>
      <c r="Z50" s="41"/>
      <c r="AA50" s="43"/>
      <c r="AB50" s="22">
        <f t="shared" si="0"/>
        <v>0</v>
      </c>
      <c r="AC50" s="44">
        <f t="shared" si="1"/>
        <v>0</v>
      </c>
      <c r="AD50" s="45">
        <f t="shared" si="2"/>
        <v>0</v>
      </c>
      <c r="AE50" s="44">
        <f t="shared" si="3"/>
        <v>0</v>
      </c>
      <c r="AF50" s="159" t="str">
        <f t="shared" si="4"/>
        <v/>
      </c>
      <c r="AG50" s="1"/>
      <c r="AH50" s="1"/>
    </row>
    <row r="51" spans="1:34" ht="19.5" customHeight="1">
      <c r="A51" s="47">
        <v>40</v>
      </c>
      <c r="B51" s="48"/>
      <c r="C51" s="110"/>
      <c r="D51" s="51"/>
      <c r="E51" s="51"/>
      <c r="F51" s="52"/>
      <c r="G51" s="53"/>
      <c r="H51" s="110"/>
      <c r="I51" s="51"/>
      <c r="J51" s="51"/>
      <c r="K51" s="51"/>
      <c r="L51" s="53"/>
      <c r="M51" s="50"/>
      <c r="N51" s="51"/>
      <c r="O51" s="51"/>
      <c r="P51" s="51"/>
      <c r="Q51" s="51"/>
      <c r="R51" s="110"/>
      <c r="S51" s="51"/>
      <c r="T51" s="51"/>
      <c r="U51" s="51"/>
      <c r="V51" s="53"/>
      <c r="W51" s="110"/>
      <c r="X51" s="51"/>
      <c r="Y51" s="51"/>
      <c r="Z51" s="51"/>
      <c r="AA51" s="53"/>
      <c r="AB51" s="54">
        <f t="shared" si="0"/>
        <v>0</v>
      </c>
      <c r="AC51" s="55">
        <f t="shared" si="1"/>
        <v>0</v>
      </c>
      <c r="AD51" s="56">
        <f t="shared" si="2"/>
        <v>0</v>
      </c>
      <c r="AE51" s="55">
        <f t="shared" si="3"/>
        <v>0</v>
      </c>
      <c r="AF51" s="160" t="str">
        <f t="shared" si="4"/>
        <v/>
      </c>
      <c r="AG51" s="1"/>
      <c r="AH51" s="1"/>
    </row>
    <row r="52" spans="1:34" ht="27" customHeight="1">
      <c r="A52" s="171" t="s">
        <v>53</v>
      </c>
      <c r="B52" s="172"/>
      <c r="C52" s="111" t="s">
        <v>25</v>
      </c>
      <c r="D52" s="111" t="s">
        <v>26</v>
      </c>
      <c r="E52" s="111" t="s">
        <v>27</v>
      </c>
      <c r="F52" s="111" t="s">
        <v>28</v>
      </c>
      <c r="G52" s="111" t="s">
        <v>29</v>
      </c>
      <c r="H52" s="111" t="s">
        <v>30</v>
      </c>
      <c r="I52" s="111" t="s">
        <v>31</v>
      </c>
      <c r="J52" s="111" t="s">
        <v>84</v>
      </c>
      <c r="K52" s="111" t="s">
        <v>85</v>
      </c>
      <c r="L52" s="111" t="s">
        <v>86</v>
      </c>
      <c r="M52" s="111" t="s">
        <v>87</v>
      </c>
      <c r="N52" s="111" t="s">
        <v>88</v>
      </c>
      <c r="O52" s="111" t="s">
        <v>89</v>
      </c>
      <c r="P52" s="111" t="s">
        <v>90</v>
      </c>
      <c r="Q52" s="111" t="s">
        <v>91</v>
      </c>
      <c r="R52" s="111" t="s">
        <v>92</v>
      </c>
      <c r="S52" s="111" t="s">
        <v>93</v>
      </c>
      <c r="T52" s="111" t="s">
        <v>94</v>
      </c>
      <c r="U52" s="111" t="s">
        <v>95</v>
      </c>
      <c r="V52" s="111" t="s">
        <v>96</v>
      </c>
      <c r="W52" s="111" t="s">
        <v>97</v>
      </c>
      <c r="X52" s="111" t="s">
        <v>98</v>
      </c>
      <c r="Y52" s="111" t="s">
        <v>99</v>
      </c>
      <c r="Z52" s="111" t="s">
        <v>100</v>
      </c>
      <c r="AA52" s="152" t="s">
        <v>125</v>
      </c>
      <c r="AB52" s="1"/>
      <c r="AC52" s="1"/>
      <c r="AD52" s="248" t="s">
        <v>54</v>
      </c>
      <c r="AE52" s="249"/>
      <c r="AF52" s="250"/>
      <c r="AG52" s="1"/>
      <c r="AH52" s="1"/>
    </row>
    <row r="53" spans="1:34" ht="27" customHeight="1">
      <c r="A53" s="239" t="s">
        <v>20</v>
      </c>
      <c r="B53" s="235"/>
      <c r="C53" s="112">
        <f t="shared" ref="C53:AA53" si="5">COUNTIF(C12:C51,3)/COUNTA(C12:C51)*1</f>
        <v>1</v>
      </c>
      <c r="D53" s="112">
        <f t="shared" si="5"/>
        <v>1</v>
      </c>
      <c r="E53" s="112">
        <f t="shared" si="5"/>
        <v>1</v>
      </c>
      <c r="F53" s="112">
        <f t="shared" si="5"/>
        <v>1</v>
      </c>
      <c r="G53" s="112">
        <f t="shared" si="5"/>
        <v>1</v>
      </c>
      <c r="H53" s="112">
        <f t="shared" si="5"/>
        <v>1</v>
      </c>
      <c r="I53" s="112">
        <f t="shared" si="5"/>
        <v>1</v>
      </c>
      <c r="J53" s="112">
        <f t="shared" si="5"/>
        <v>1</v>
      </c>
      <c r="K53" s="112">
        <f t="shared" si="5"/>
        <v>1</v>
      </c>
      <c r="L53" s="112">
        <f t="shared" si="5"/>
        <v>1</v>
      </c>
      <c r="M53" s="112">
        <f t="shared" si="5"/>
        <v>1</v>
      </c>
      <c r="N53" s="112">
        <f t="shared" si="5"/>
        <v>1</v>
      </c>
      <c r="O53" s="112">
        <f t="shared" si="5"/>
        <v>1</v>
      </c>
      <c r="P53" s="112">
        <f t="shared" si="5"/>
        <v>1</v>
      </c>
      <c r="Q53" s="112">
        <f t="shared" si="5"/>
        <v>1</v>
      </c>
      <c r="R53" s="112">
        <f t="shared" si="5"/>
        <v>1</v>
      </c>
      <c r="S53" s="112">
        <f t="shared" si="5"/>
        <v>1</v>
      </c>
      <c r="T53" s="112">
        <f t="shared" si="5"/>
        <v>1</v>
      </c>
      <c r="U53" s="112">
        <f t="shared" si="5"/>
        <v>1</v>
      </c>
      <c r="V53" s="112">
        <f t="shared" si="5"/>
        <v>1</v>
      </c>
      <c r="W53" s="112">
        <f t="shared" si="5"/>
        <v>1</v>
      </c>
      <c r="X53" s="112">
        <f t="shared" si="5"/>
        <v>1</v>
      </c>
      <c r="Y53" s="112">
        <f t="shared" si="5"/>
        <v>1</v>
      </c>
      <c r="Z53" s="112">
        <f t="shared" si="5"/>
        <v>1</v>
      </c>
      <c r="AA53" s="153">
        <f t="shared" si="5"/>
        <v>1</v>
      </c>
      <c r="AB53" s="1"/>
      <c r="AC53" s="1"/>
      <c r="AD53" s="212" t="s">
        <v>55</v>
      </c>
      <c r="AE53" s="213"/>
      <c r="AF53" s="217" t="s">
        <v>4</v>
      </c>
      <c r="AG53" s="221"/>
      <c r="AH53" s="61"/>
    </row>
    <row r="54" spans="1:34" ht="27" customHeight="1">
      <c r="A54" s="240" t="s">
        <v>21</v>
      </c>
      <c r="B54" s="235"/>
      <c r="C54" s="113">
        <f t="shared" ref="C54:AA54" si="6">COUNTIF(C13:C52,2)/COUNTA(C13:C52)*1</f>
        <v>0</v>
      </c>
      <c r="D54" s="113">
        <f t="shared" si="6"/>
        <v>0</v>
      </c>
      <c r="E54" s="113">
        <f t="shared" si="6"/>
        <v>0</v>
      </c>
      <c r="F54" s="113">
        <f t="shared" si="6"/>
        <v>0</v>
      </c>
      <c r="G54" s="113">
        <f t="shared" si="6"/>
        <v>0</v>
      </c>
      <c r="H54" s="113">
        <f t="shared" si="6"/>
        <v>0</v>
      </c>
      <c r="I54" s="113">
        <f t="shared" si="6"/>
        <v>0</v>
      </c>
      <c r="J54" s="113">
        <f t="shared" si="6"/>
        <v>0</v>
      </c>
      <c r="K54" s="113">
        <f t="shared" si="6"/>
        <v>0</v>
      </c>
      <c r="L54" s="113">
        <f t="shared" si="6"/>
        <v>0</v>
      </c>
      <c r="M54" s="113">
        <f t="shared" si="6"/>
        <v>0</v>
      </c>
      <c r="N54" s="113">
        <f t="shared" si="6"/>
        <v>0</v>
      </c>
      <c r="O54" s="113">
        <f t="shared" si="6"/>
        <v>0</v>
      </c>
      <c r="P54" s="113">
        <f t="shared" si="6"/>
        <v>0</v>
      </c>
      <c r="Q54" s="113">
        <f t="shared" si="6"/>
        <v>0</v>
      </c>
      <c r="R54" s="113">
        <f t="shared" si="6"/>
        <v>0</v>
      </c>
      <c r="S54" s="113">
        <f t="shared" si="6"/>
        <v>0</v>
      </c>
      <c r="T54" s="113">
        <f t="shared" si="6"/>
        <v>0</v>
      </c>
      <c r="U54" s="113">
        <f t="shared" si="6"/>
        <v>0</v>
      </c>
      <c r="V54" s="113">
        <f t="shared" si="6"/>
        <v>0</v>
      </c>
      <c r="W54" s="113">
        <f t="shared" si="6"/>
        <v>0</v>
      </c>
      <c r="X54" s="113">
        <f t="shared" si="6"/>
        <v>0</v>
      </c>
      <c r="Y54" s="113">
        <f t="shared" si="6"/>
        <v>0</v>
      </c>
      <c r="Z54" s="113">
        <f t="shared" si="6"/>
        <v>0</v>
      </c>
      <c r="AA54" s="154">
        <f t="shared" si="6"/>
        <v>0</v>
      </c>
      <c r="AB54" s="1"/>
      <c r="AC54" s="1"/>
      <c r="AD54" s="214"/>
      <c r="AE54" s="190"/>
      <c r="AF54" s="218"/>
      <c r="AG54" s="189"/>
      <c r="AH54" s="61"/>
    </row>
    <row r="55" spans="1:34" ht="26.25" customHeight="1">
      <c r="A55" s="241" t="s">
        <v>22</v>
      </c>
      <c r="B55" s="235"/>
      <c r="C55" s="114">
        <f t="shared" ref="C55:AA55" si="7">COUNTIF(C12:C51,1)/COUNTA(C12:C51)*1</f>
        <v>0</v>
      </c>
      <c r="D55" s="114">
        <f t="shared" si="7"/>
        <v>0</v>
      </c>
      <c r="E55" s="114">
        <f t="shared" si="7"/>
        <v>0</v>
      </c>
      <c r="F55" s="114">
        <f t="shared" si="7"/>
        <v>0</v>
      </c>
      <c r="G55" s="114">
        <f t="shared" si="7"/>
        <v>0</v>
      </c>
      <c r="H55" s="114">
        <f t="shared" si="7"/>
        <v>0</v>
      </c>
      <c r="I55" s="114">
        <f t="shared" si="7"/>
        <v>0</v>
      </c>
      <c r="J55" s="114">
        <f t="shared" si="7"/>
        <v>0</v>
      </c>
      <c r="K55" s="114">
        <f t="shared" si="7"/>
        <v>0</v>
      </c>
      <c r="L55" s="114">
        <f t="shared" si="7"/>
        <v>0</v>
      </c>
      <c r="M55" s="114">
        <f t="shared" si="7"/>
        <v>0</v>
      </c>
      <c r="N55" s="114">
        <f t="shared" si="7"/>
        <v>0</v>
      </c>
      <c r="O55" s="114">
        <f t="shared" si="7"/>
        <v>0</v>
      </c>
      <c r="P55" s="114">
        <f t="shared" si="7"/>
        <v>0</v>
      </c>
      <c r="Q55" s="114">
        <f t="shared" si="7"/>
        <v>0</v>
      </c>
      <c r="R55" s="114">
        <f t="shared" si="7"/>
        <v>0</v>
      </c>
      <c r="S55" s="114">
        <f t="shared" si="7"/>
        <v>0</v>
      </c>
      <c r="T55" s="114">
        <f t="shared" si="7"/>
        <v>0</v>
      </c>
      <c r="U55" s="114">
        <f t="shared" si="7"/>
        <v>0</v>
      </c>
      <c r="V55" s="114">
        <f t="shared" si="7"/>
        <v>0</v>
      </c>
      <c r="W55" s="114">
        <f t="shared" si="7"/>
        <v>0</v>
      </c>
      <c r="X55" s="114">
        <f t="shared" si="7"/>
        <v>0</v>
      </c>
      <c r="Y55" s="114">
        <f t="shared" si="7"/>
        <v>0</v>
      </c>
      <c r="Z55" s="114">
        <f t="shared" si="7"/>
        <v>0</v>
      </c>
      <c r="AA55" s="155">
        <f t="shared" si="7"/>
        <v>0</v>
      </c>
      <c r="AB55" s="1"/>
      <c r="AC55" s="1"/>
      <c r="AD55" s="215"/>
      <c r="AE55" s="216"/>
      <c r="AF55" s="219"/>
      <c r="AG55" s="189"/>
      <c r="AH55" s="61"/>
    </row>
    <row r="56" spans="1:34" ht="19.5" customHeight="1">
      <c r="A56" s="242" t="s">
        <v>23</v>
      </c>
      <c r="B56" s="235"/>
      <c r="C56" s="115">
        <f t="shared" ref="C56:AA56" si="8">COUNTIF(C12:C51,0)/COUNTA(C12:C51)*1</f>
        <v>0</v>
      </c>
      <c r="D56" s="115">
        <f t="shared" si="8"/>
        <v>0</v>
      </c>
      <c r="E56" s="115">
        <f t="shared" si="8"/>
        <v>0</v>
      </c>
      <c r="F56" s="115">
        <f t="shared" si="8"/>
        <v>0</v>
      </c>
      <c r="G56" s="115">
        <f t="shared" si="8"/>
        <v>0</v>
      </c>
      <c r="H56" s="115">
        <f t="shared" si="8"/>
        <v>0</v>
      </c>
      <c r="I56" s="115">
        <f t="shared" si="8"/>
        <v>0</v>
      </c>
      <c r="J56" s="115">
        <f t="shared" si="8"/>
        <v>0</v>
      </c>
      <c r="K56" s="115">
        <f t="shared" si="8"/>
        <v>0</v>
      </c>
      <c r="L56" s="115">
        <f t="shared" si="8"/>
        <v>0</v>
      </c>
      <c r="M56" s="115">
        <f t="shared" si="8"/>
        <v>0</v>
      </c>
      <c r="N56" s="115">
        <f t="shared" si="8"/>
        <v>0</v>
      </c>
      <c r="O56" s="115">
        <f t="shared" si="8"/>
        <v>0</v>
      </c>
      <c r="P56" s="115">
        <f t="shared" si="8"/>
        <v>0</v>
      </c>
      <c r="Q56" s="115">
        <f t="shared" si="8"/>
        <v>0</v>
      </c>
      <c r="R56" s="115">
        <f t="shared" si="8"/>
        <v>0</v>
      </c>
      <c r="S56" s="115">
        <f t="shared" si="8"/>
        <v>0</v>
      </c>
      <c r="T56" s="115">
        <f t="shared" si="8"/>
        <v>0</v>
      </c>
      <c r="U56" s="115">
        <f t="shared" si="8"/>
        <v>0</v>
      </c>
      <c r="V56" s="115">
        <f t="shared" si="8"/>
        <v>0</v>
      </c>
      <c r="W56" s="115">
        <f t="shared" si="8"/>
        <v>0</v>
      </c>
      <c r="X56" s="115">
        <f t="shared" si="8"/>
        <v>0</v>
      </c>
      <c r="Y56" s="115">
        <f t="shared" si="8"/>
        <v>0</v>
      </c>
      <c r="Z56" s="115">
        <f t="shared" si="8"/>
        <v>0</v>
      </c>
      <c r="AA56" s="156">
        <f t="shared" si="8"/>
        <v>0</v>
      </c>
      <c r="AB56" s="1"/>
      <c r="AC56" s="1"/>
      <c r="AD56" s="222" t="s">
        <v>56</v>
      </c>
      <c r="AE56" s="223"/>
      <c r="AF56" s="65">
        <f>COUNTIFS(AF12:AF51,"Logrado")</f>
        <v>1</v>
      </c>
      <c r="AG56" s="1"/>
      <c r="AH56" s="1"/>
    </row>
    <row r="57" spans="1:34" ht="19.5" customHeight="1">
      <c r="A57" s="224" t="s">
        <v>57</v>
      </c>
      <c r="B57" s="225"/>
      <c r="C57" s="116">
        <f t="shared" ref="C57:AA57" si="9">SUM(C53:C56)</f>
        <v>1</v>
      </c>
      <c r="D57" s="116">
        <f t="shared" si="9"/>
        <v>1</v>
      </c>
      <c r="E57" s="116">
        <f t="shared" si="9"/>
        <v>1</v>
      </c>
      <c r="F57" s="116">
        <f t="shared" si="9"/>
        <v>1</v>
      </c>
      <c r="G57" s="116">
        <f t="shared" si="9"/>
        <v>1</v>
      </c>
      <c r="H57" s="116">
        <f t="shared" si="9"/>
        <v>1</v>
      </c>
      <c r="I57" s="116">
        <f t="shared" si="9"/>
        <v>1</v>
      </c>
      <c r="J57" s="116">
        <f t="shared" si="9"/>
        <v>1</v>
      </c>
      <c r="K57" s="116">
        <f t="shared" si="9"/>
        <v>1</v>
      </c>
      <c r="L57" s="116">
        <f t="shared" si="9"/>
        <v>1</v>
      </c>
      <c r="M57" s="116">
        <f t="shared" si="9"/>
        <v>1</v>
      </c>
      <c r="N57" s="116">
        <f t="shared" si="9"/>
        <v>1</v>
      </c>
      <c r="O57" s="116">
        <f t="shared" si="9"/>
        <v>1</v>
      </c>
      <c r="P57" s="116">
        <f t="shared" si="9"/>
        <v>1</v>
      </c>
      <c r="Q57" s="116">
        <f t="shared" si="9"/>
        <v>1</v>
      </c>
      <c r="R57" s="116">
        <f t="shared" si="9"/>
        <v>1</v>
      </c>
      <c r="S57" s="116">
        <f t="shared" si="9"/>
        <v>1</v>
      </c>
      <c r="T57" s="116">
        <f t="shared" si="9"/>
        <v>1</v>
      </c>
      <c r="U57" s="116">
        <f t="shared" si="9"/>
        <v>1</v>
      </c>
      <c r="V57" s="116">
        <f t="shared" si="9"/>
        <v>1</v>
      </c>
      <c r="W57" s="116">
        <f t="shared" si="9"/>
        <v>1</v>
      </c>
      <c r="X57" s="116">
        <f t="shared" si="9"/>
        <v>1</v>
      </c>
      <c r="Y57" s="116">
        <f t="shared" si="9"/>
        <v>1</v>
      </c>
      <c r="Z57" s="116">
        <f t="shared" si="9"/>
        <v>1</v>
      </c>
      <c r="AA57" s="157">
        <f t="shared" si="9"/>
        <v>1</v>
      </c>
      <c r="AB57" s="1"/>
      <c r="AC57" s="1"/>
      <c r="AD57" s="234" t="s">
        <v>58</v>
      </c>
      <c r="AE57" s="235"/>
      <c r="AF57" s="67">
        <f>COUNTIFS(AF12:AF51,"Proceso")</f>
        <v>0</v>
      </c>
      <c r="AG57" s="1"/>
      <c r="AH57" s="1"/>
    </row>
    <row r="58" spans="1:34" ht="19.5" customHeight="1">
      <c r="A58" s="117"/>
      <c r="B58" s="117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"/>
      <c r="AC58" s="1"/>
      <c r="AD58" s="236" t="s">
        <v>59</v>
      </c>
      <c r="AE58" s="237"/>
      <c r="AF58" s="69">
        <f>COUNTIFS(AF11:AF50,"Inicio")</f>
        <v>0</v>
      </c>
      <c r="AG58" s="1"/>
      <c r="AH58" s="1"/>
    </row>
    <row r="59" spans="1:34" ht="19.5" customHeight="1">
      <c r="A59" s="68"/>
      <c r="B59" s="68"/>
      <c r="C59" s="119"/>
      <c r="D59" s="11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54" t="s">
        <v>101</v>
      </c>
      <c r="AE59" s="237"/>
      <c r="AF59" s="69">
        <f>COUNTIFS(AF12:AF51,"Previo al Inicio")</f>
        <v>0</v>
      </c>
      <c r="AG59" s="1"/>
      <c r="AH59" s="1"/>
    </row>
    <row r="60" spans="1:34" ht="34.5" customHeight="1">
      <c r="A60" s="226" t="s">
        <v>60</v>
      </c>
      <c r="B60" s="211"/>
      <c r="C60" s="120" t="str">
        <f t="shared" ref="C60:AA60" si="10">IF(COUNTIF(C12:C51,3)/COUNTA(C12:C51)&lt;=0.25,"Previo al inicio",
   IF(COUNTIF(C12:C51,3)/COUNTA(C12:C51)&lt;=0.5,"Inicio",
   IF(COUNTIF(C12:C51,3)/COUNTA(C12:C51)&lt;=0.75,"Proceso",
   "Logrado")))</f>
        <v>Logrado</v>
      </c>
      <c r="D60" s="120" t="str">
        <f t="shared" si="10"/>
        <v>Logrado</v>
      </c>
      <c r="E60" s="120" t="str">
        <f t="shared" si="10"/>
        <v>Logrado</v>
      </c>
      <c r="F60" s="120" t="str">
        <f t="shared" si="10"/>
        <v>Logrado</v>
      </c>
      <c r="G60" s="120" t="str">
        <f t="shared" si="10"/>
        <v>Logrado</v>
      </c>
      <c r="H60" s="121" t="str">
        <f t="shared" si="10"/>
        <v>Logrado</v>
      </c>
      <c r="I60" s="122" t="str">
        <f t="shared" si="10"/>
        <v>Logrado</v>
      </c>
      <c r="J60" s="122" t="str">
        <f t="shared" si="10"/>
        <v>Logrado</v>
      </c>
      <c r="K60" s="122" t="str">
        <f t="shared" si="10"/>
        <v>Logrado</v>
      </c>
      <c r="L60" s="123" t="str">
        <f t="shared" si="10"/>
        <v>Logrado</v>
      </c>
      <c r="M60" s="124" t="str">
        <f t="shared" si="10"/>
        <v>Logrado</v>
      </c>
      <c r="N60" s="125" t="str">
        <f t="shared" si="10"/>
        <v>Logrado</v>
      </c>
      <c r="O60" s="125" t="str">
        <f t="shared" si="10"/>
        <v>Logrado</v>
      </c>
      <c r="P60" s="125" t="str">
        <f t="shared" si="10"/>
        <v>Logrado</v>
      </c>
      <c r="Q60" s="125" t="str">
        <f t="shared" si="10"/>
        <v>Logrado</v>
      </c>
      <c r="R60" s="126" t="str">
        <f t="shared" si="10"/>
        <v>Logrado</v>
      </c>
      <c r="S60" s="125" t="str">
        <f t="shared" si="10"/>
        <v>Logrado</v>
      </c>
      <c r="T60" s="125" t="str">
        <f t="shared" si="10"/>
        <v>Logrado</v>
      </c>
      <c r="U60" s="125" t="str">
        <f t="shared" si="10"/>
        <v>Logrado</v>
      </c>
      <c r="V60" s="127" t="str">
        <f t="shared" si="10"/>
        <v>Logrado</v>
      </c>
      <c r="W60" s="124" t="str">
        <f t="shared" si="10"/>
        <v>Logrado</v>
      </c>
      <c r="X60" s="125" t="str">
        <f t="shared" si="10"/>
        <v>Logrado</v>
      </c>
      <c r="Y60" s="125" t="str">
        <f t="shared" si="10"/>
        <v>Logrado</v>
      </c>
      <c r="Z60" s="125" t="str">
        <f t="shared" si="10"/>
        <v>Logrado</v>
      </c>
      <c r="AA60" s="128" t="str">
        <f t="shared" si="10"/>
        <v>Logrado</v>
      </c>
      <c r="AB60" s="1"/>
      <c r="AC60" s="1"/>
      <c r="AD60" s="238" t="s">
        <v>61</v>
      </c>
      <c r="AE60" s="211"/>
      <c r="AF60" s="74">
        <f>SUM(AF56:AF59)</f>
        <v>1</v>
      </c>
      <c r="AG60" s="1"/>
      <c r="AH60" s="1"/>
    </row>
    <row r="61" spans="1:34" ht="25.5" customHeight="1">
      <c r="A61" s="228" t="s">
        <v>62</v>
      </c>
      <c r="B61" s="229"/>
      <c r="C61" s="253" t="str">
        <f>IF(SUM(C53:G53)&lt;=125%,"Previo al Inicio",IF(SUM(C53:G53)&lt;=250%,"Inicio",
IF(SUM(C53:G53)&lt;=375%,"Proceso",
"Logrado")))</f>
        <v>Logrado</v>
      </c>
      <c r="D61" s="210"/>
      <c r="E61" s="210"/>
      <c r="F61" s="210"/>
      <c r="G61" s="211"/>
      <c r="H61" s="226" t="str">
        <f>IF(SUM(H53:L53)&lt;=125%,"Previo al Inicio",IF(SUM(H53:L53)&lt;=250%,"Inicio",IF(SUM(H53:L53)&lt;=375%,"Proceso","Logrado")))</f>
        <v>Logrado</v>
      </c>
      <c r="I61" s="210"/>
      <c r="J61" s="210"/>
      <c r="K61" s="210"/>
      <c r="L61" s="211"/>
      <c r="M61" s="253" t="str">
        <f>IF(SUM(M53:Q53)&lt;=150%,"Previo al Inicio",IF(SUM(M53:Q53)&lt;=300%,"Inicio",IF(SUM(M53:Q53)&lt;=450%,"Proceso","Logrado")))</f>
        <v>Logrado</v>
      </c>
      <c r="N61" s="210"/>
      <c r="O61" s="210"/>
      <c r="P61" s="210"/>
      <c r="Q61" s="252"/>
      <c r="R61" s="253" t="str">
        <f>IF(SUM(R53:V53)&lt;=125%,"Previo al Inicio",IF(SUM(R53:V53)&lt;=250%,"Inicio",IF(SUM(R53:V53)&lt;=375%,"Proceso","Logrado")))</f>
        <v>Logrado</v>
      </c>
      <c r="S61" s="210"/>
      <c r="T61" s="210"/>
      <c r="U61" s="210"/>
      <c r="V61" s="211"/>
      <c r="W61" s="226" t="str">
        <f>IF(SUM(W53:AA53)&lt;=125%,"Previo al Inicio",IF(SUM(W53:AA53)&lt;=250%,"Inicio",IF(SUM(W53:AA53)&lt;=375%,"Proceso","Logrado")))</f>
        <v>Logrado</v>
      </c>
      <c r="X61" s="210"/>
      <c r="Y61" s="210"/>
      <c r="Z61" s="210"/>
      <c r="AA61" s="211"/>
      <c r="AB61" s="75"/>
      <c r="AC61" s="75"/>
      <c r="AD61" s="75"/>
      <c r="AE61" s="1"/>
      <c r="AF61" s="1"/>
      <c r="AG61" s="1"/>
      <c r="AH61" s="1"/>
    </row>
    <row r="62" spans="1:34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5.75" customHeight="1">
      <c r="A63" s="1"/>
      <c r="B63" s="1"/>
      <c r="C63" s="1"/>
      <c r="D63" s="1"/>
      <c r="E63" s="1"/>
      <c r="F63" s="1"/>
      <c r="G63" s="1"/>
      <c r="H63" s="1"/>
      <c r="I63" s="1"/>
      <c r="J63" s="13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5.75" customHeight="1">
      <c r="A64" s="1"/>
      <c r="B64" s="220" t="s">
        <v>63</v>
      </c>
      <c r="C64" s="210"/>
      <c r="D64" s="211"/>
      <c r="E64" s="134"/>
      <c r="F64" s="134"/>
      <c r="G64" s="13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customHeight="1">
      <c r="A65" s="1"/>
      <c r="B65" s="139" t="s">
        <v>20</v>
      </c>
      <c r="C65" s="140" t="s">
        <v>64</v>
      </c>
      <c r="D65" s="78">
        <v>3</v>
      </c>
      <c r="E65" s="135"/>
      <c r="F65" s="135"/>
      <c r="G65" s="13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customHeight="1">
      <c r="A66" s="1"/>
      <c r="B66" s="139" t="s">
        <v>21</v>
      </c>
      <c r="C66" s="80" t="s">
        <v>65</v>
      </c>
      <c r="D66" s="80">
        <v>2</v>
      </c>
      <c r="E66" s="135"/>
      <c r="F66" s="135"/>
      <c r="G66" s="13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75" customHeight="1">
      <c r="A67" s="1"/>
      <c r="B67" s="141" t="s">
        <v>22</v>
      </c>
      <c r="C67" s="142" t="s">
        <v>66</v>
      </c>
      <c r="D67" s="83">
        <v>1</v>
      </c>
      <c r="E67" s="135"/>
      <c r="F67" s="135"/>
      <c r="G67" s="13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75" customHeight="1">
      <c r="A68" s="1"/>
      <c r="B68" s="143" t="s">
        <v>23</v>
      </c>
      <c r="C68" s="86" t="s">
        <v>67</v>
      </c>
      <c r="D68" s="86">
        <v>0</v>
      </c>
      <c r="E68" s="135"/>
      <c r="F68" s="135"/>
      <c r="G68" s="13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customHeight="1"/>
    <row r="83" spans="1:34" ht="15.75" customHeight="1"/>
    <row r="84" spans="1:34" ht="15.75" customHeight="1"/>
    <row r="85" spans="1:34" ht="15.75" customHeight="1"/>
    <row r="86" spans="1:34" ht="15.75" customHeight="1"/>
    <row r="87" spans="1:34" ht="15.75" customHeight="1"/>
    <row r="88" spans="1:34" ht="15.75" customHeight="1"/>
    <row r="89" spans="1:34" ht="15.75" customHeight="1"/>
    <row r="90" spans="1:34" ht="15.75" customHeight="1"/>
    <row r="91" spans="1:34" ht="15.75" customHeight="1"/>
    <row r="92" spans="1:34" ht="15.75" customHeight="1"/>
    <row r="93" spans="1:34" ht="15.75" customHeight="1"/>
    <row r="94" spans="1:34" ht="15.75" customHeight="1"/>
    <row r="95" spans="1:34" ht="15.75" customHeight="1"/>
    <row r="96" spans="1:3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AD52:AF52"/>
    <mergeCell ref="AD53:AE55"/>
    <mergeCell ref="AF53:AF55"/>
    <mergeCell ref="AE10:AE11"/>
    <mergeCell ref="A61:B61"/>
    <mergeCell ref="C61:G61"/>
    <mergeCell ref="AG53:AG55"/>
    <mergeCell ref="AD57:AE57"/>
    <mergeCell ref="AD58:AE58"/>
    <mergeCell ref="AD59:AE59"/>
    <mergeCell ref="AD60:AE60"/>
    <mergeCell ref="AD56:AE56"/>
    <mergeCell ref="A1:AF1"/>
    <mergeCell ref="C3:AF3"/>
    <mergeCell ref="C5:AA5"/>
    <mergeCell ref="AB5:AE9"/>
    <mergeCell ref="AF5:AF11"/>
    <mergeCell ref="W6:AA6"/>
    <mergeCell ref="W8:AA8"/>
    <mergeCell ref="A3:B3"/>
    <mergeCell ref="C7:G7"/>
    <mergeCell ref="C6:G6"/>
    <mergeCell ref="H6:L6"/>
    <mergeCell ref="M6:Q6"/>
    <mergeCell ref="R6:V6"/>
    <mergeCell ref="H7:L7"/>
    <mergeCell ref="M7:Q7"/>
    <mergeCell ref="W7:AA7"/>
    <mergeCell ref="W9:AA9"/>
    <mergeCell ref="AB10:AB11"/>
    <mergeCell ref="AC10:AC11"/>
    <mergeCell ref="AD10:AD11"/>
    <mergeCell ref="B64:D64"/>
    <mergeCell ref="H61:L61"/>
    <mergeCell ref="M61:Q61"/>
    <mergeCell ref="R61:V61"/>
    <mergeCell ref="W61:AA61"/>
    <mergeCell ref="A52:B52"/>
    <mergeCell ref="A53:B53"/>
    <mergeCell ref="A54:B54"/>
    <mergeCell ref="A55:B55"/>
    <mergeCell ref="A56:B56"/>
    <mergeCell ref="A57:B57"/>
    <mergeCell ref="A60:B60"/>
    <mergeCell ref="A5:A11"/>
    <mergeCell ref="C9:G9"/>
    <mergeCell ref="H9:L9"/>
    <mergeCell ref="M9:Q9"/>
    <mergeCell ref="R9:V9"/>
    <mergeCell ref="H8:L8"/>
    <mergeCell ref="M8:Q8"/>
    <mergeCell ref="R8:V8"/>
    <mergeCell ref="R7:V7"/>
    <mergeCell ref="C8:G8"/>
  </mergeCells>
  <conditionalFormatting sqref="C60:AA60">
    <cfRule type="expression" dxfId="51" priority="1">
      <formula>C60="Logrado"</formula>
    </cfRule>
  </conditionalFormatting>
  <conditionalFormatting sqref="C60:AA60">
    <cfRule type="expression" dxfId="50" priority="2">
      <formula>C60="Proceso"</formula>
    </cfRule>
  </conditionalFormatting>
  <conditionalFormatting sqref="C60:AA60">
    <cfRule type="expression" dxfId="49" priority="3">
      <formula>C60="Inicio"</formula>
    </cfRule>
  </conditionalFormatting>
  <conditionalFormatting sqref="C60:AA60">
    <cfRule type="expression" dxfId="48" priority="4">
      <formula>C60="Previo al Inicio"</formula>
    </cfRule>
  </conditionalFormatting>
  <conditionalFormatting sqref="C61">
    <cfRule type="expression" dxfId="47" priority="5">
      <formula>C61="Previo al inicio"</formula>
    </cfRule>
  </conditionalFormatting>
  <conditionalFormatting sqref="C61">
    <cfRule type="expression" dxfId="46" priority="6">
      <formula>C61="Inicio"</formula>
    </cfRule>
  </conditionalFormatting>
  <conditionalFormatting sqref="C61">
    <cfRule type="expression" dxfId="45" priority="7">
      <formula>C61="Proceso"</formula>
    </cfRule>
  </conditionalFormatting>
  <conditionalFormatting sqref="C61">
    <cfRule type="expression" dxfId="44" priority="8">
      <formula>C61="Logrado"</formula>
    </cfRule>
  </conditionalFormatting>
  <conditionalFormatting sqref="H61">
    <cfRule type="expression" dxfId="43" priority="9">
      <formula>H61="Previo al inicio"</formula>
    </cfRule>
  </conditionalFormatting>
  <conditionalFormatting sqref="H61">
    <cfRule type="expression" dxfId="42" priority="10">
      <formula>H61="Inicio"</formula>
    </cfRule>
  </conditionalFormatting>
  <conditionalFormatting sqref="H61">
    <cfRule type="expression" dxfId="41" priority="11">
      <formula>H61="Proceso"</formula>
    </cfRule>
  </conditionalFormatting>
  <conditionalFormatting sqref="H61">
    <cfRule type="expression" dxfId="40" priority="12">
      <formula>H61="Logrado"</formula>
    </cfRule>
  </conditionalFormatting>
  <conditionalFormatting sqref="M61">
    <cfRule type="expression" dxfId="39" priority="13">
      <formula>M61="Previo al inicio"</formula>
    </cfRule>
  </conditionalFormatting>
  <conditionalFormatting sqref="M61">
    <cfRule type="expression" dxfId="38" priority="14">
      <formula>M61="Inicio"</formula>
    </cfRule>
  </conditionalFormatting>
  <conditionalFormatting sqref="M61">
    <cfRule type="expression" dxfId="37" priority="15">
      <formula>M61="Proceso"</formula>
    </cfRule>
  </conditionalFormatting>
  <conditionalFormatting sqref="M61">
    <cfRule type="expression" dxfId="36" priority="16">
      <formula>M61="Logrado"</formula>
    </cfRule>
  </conditionalFormatting>
  <conditionalFormatting sqref="R61">
    <cfRule type="expression" dxfId="35" priority="17">
      <formula>R61="Previo al inicio"</formula>
    </cfRule>
  </conditionalFormatting>
  <conditionalFormatting sqref="R61">
    <cfRule type="expression" dxfId="34" priority="18">
      <formula>R61="Inicio"</formula>
    </cfRule>
  </conditionalFormatting>
  <conditionalFormatting sqref="R61">
    <cfRule type="expression" dxfId="33" priority="19">
      <formula>R61="Proceso"</formula>
    </cfRule>
  </conditionalFormatting>
  <conditionalFormatting sqref="R61">
    <cfRule type="expression" dxfId="32" priority="20">
      <formula>R61="Logrado"</formula>
    </cfRule>
  </conditionalFormatting>
  <conditionalFormatting sqref="W61">
    <cfRule type="expression" dxfId="31" priority="21">
      <formula>W61="Previo al inicio"</formula>
    </cfRule>
  </conditionalFormatting>
  <conditionalFormatting sqref="W61">
    <cfRule type="expression" dxfId="30" priority="22">
      <formula>W61="Inicio"</formula>
    </cfRule>
  </conditionalFormatting>
  <conditionalFormatting sqref="W61">
    <cfRule type="expression" dxfId="29" priority="23">
      <formula>W61="Proceso"</formula>
    </cfRule>
  </conditionalFormatting>
  <conditionalFormatting sqref="W61">
    <cfRule type="expression" dxfId="28" priority="24">
      <formula>W61="Logrado"</formula>
    </cfRule>
  </conditionalFormatting>
  <conditionalFormatting sqref="AF12:AF51">
    <cfRule type="expression" dxfId="27" priority="25">
      <formula>AF12="Logrado"</formula>
    </cfRule>
  </conditionalFormatting>
  <conditionalFormatting sqref="AF12:AF51">
    <cfRule type="expression" dxfId="26" priority="26">
      <formula>AF12="Proceso"</formula>
    </cfRule>
  </conditionalFormatting>
  <conditionalFormatting sqref="AF12:AF51">
    <cfRule type="expression" dxfId="25" priority="27">
      <formula>AF12="Inicio"</formula>
    </cfRule>
  </conditionalFormatting>
  <conditionalFormatting sqref="AF12:AF51">
    <cfRule type="expression" dxfId="24" priority="28">
      <formula>AF12="Previo al Inicio"</formula>
    </cfRule>
  </conditionalFormatting>
  <dataValidations count="1">
    <dataValidation type="list" allowBlank="1" showErrorMessage="1" sqref="C12:AA51 D65:D68" xr:uid="{00000000-0002-0000-1900-000000000000}">
      <formula1>"0,1,2,3"</formula1>
    </dataValidation>
  </dataValidation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1000"/>
  <sheetViews>
    <sheetView topLeftCell="S43" workbookViewId="0">
      <selection activeCell="B12" sqref="B12"/>
    </sheetView>
  </sheetViews>
  <sheetFormatPr baseColWidth="10" defaultColWidth="14.44140625" defaultRowHeight="15" customHeight="1"/>
  <cols>
    <col min="1" max="1" width="6.44140625" customWidth="1"/>
    <col min="2" max="2" width="44" customWidth="1"/>
    <col min="3" max="27" width="12.6640625" customWidth="1"/>
    <col min="28" max="31" width="10.6640625" customWidth="1"/>
    <col min="32" max="32" width="21" customWidth="1"/>
    <col min="33" max="33" width="10.6640625" customWidth="1"/>
    <col min="34" max="34" width="17.5546875" customWidth="1"/>
    <col min="35" max="36" width="10.6640625" customWidth="1"/>
  </cols>
  <sheetData>
    <row r="1" spans="1:36" ht="33">
      <c r="A1" s="173" t="s">
        <v>132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5"/>
      <c r="AG1" s="1"/>
      <c r="AH1" s="1"/>
      <c r="AI1" s="1"/>
      <c r="AJ1" s="1"/>
    </row>
    <row r="2" spans="1:36" ht="15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21">
      <c r="A3" s="176" t="s">
        <v>1</v>
      </c>
      <c r="B3" s="177"/>
      <c r="C3" s="244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70"/>
      <c r="AG3" s="1"/>
      <c r="AH3" s="1"/>
      <c r="AI3" s="1"/>
      <c r="AJ3" s="1"/>
    </row>
    <row r="4" spans="1:36" ht="15.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1"/>
      <c r="AH4" s="1"/>
      <c r="AI4" s="1"/>
      <c r="AJ4" s="1"/>
    </row>
    <row r="5" spans="1:36" ht="52.5" customHeight="1">
      <c r="A5" s="179" t="s">
        <v>2</v>
      </c>
      <c r="B5" s="3" t="s">
        <v>3</v>
      </c>
      <c r="C5" s="245" t="s">
        <v>4</v>
      </c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7"/>
      <c r="AB5" s="185" t="s">
        <v>5</v>
      </c>
      <c r="AC5" s="186"/>
      <c r="AD5" s="186"/>
      <c r="AE5" s="266"/>
      <c r="AF5" s="194" t="s">
        <v>6</v>
      </c>
      <c r="AG5" s="1"/>
      <c r="AH5" s="1"/>
      <c r="AI5" s="1"/>
      <c r="AJ5" s="1"/>
    </row>
    <row r="6" spans="1:36" ht="52.5" customHeight="1">
      <c r="A6" s="180"/>
      <c r="B6" s="4" t="s">
        <v>7</v>
      </c>
      <c r="C6" s="195" t="s">
        <v>133</v>
      </c>
      <c r="D6" s="169"/>
      <c r="E6" s="169"/>
      <c r="F6" s="170"/>
      <c r="G6" s="168" t="s">
        <v>134</v>
      </c>
      <c r="H6" s="169"/>
      <c r="I6" s="169"/>
      <c r="J6" s="169"/>
      <c r="K6" s="170"/>
      <c r="L6" s="195" t="s">
        <v>135</v>
      </c>
      <c r="M6" s="169"/>
      <c r="N6" s="169"/>
      <c r="O6" s="169"/>
      <c r="P6" s="169"/>
      <c r="Q6" s="196"/>
      <c r="R6" s="168" t="s">
        <v>136</v>
      </c>
      <c r="S6" s="169"/>
      <c r="T6" s="169"/>
      <c r="U6" s="169"/>
      <c r="V6" s="170"/>
      <c r="W6" s="168" t="s">
        <v>137</v>
      </c>
      <c r="X6" s="169"/>
      <c r="Y6" s="169"/>
      <c r="Z6" s="169"/>
      <c r="AA6" s="170"/>
      <c r="AB6" s="188"/>
      <c r="AC6" s="189"/>
      <c r="AD6" s="189"/>
      <c r="AE6" s="267"/>
      <c r="AF6" s="180"/>
      <c r="AG6" s="1"/>
      <c r="AH6" s="1"/>
      <c r="AI6" s="1"/>
      <c r="AJ6" s="1"/>
    </row>
    <row r="7" spans="1:36" ht="52.5" customHeight="1">
      <c r="A7" s="180"/>
      <c r="B7" s="5" t="s">
        <v>10</v>
      </c>
      <c r="C7" s="255" t="s">
        <v>81</v>
      </c>
      <c r="D7" s="198"/>
      <c r="E7" s="198"/>
      <c r="F7" s="256"/>
      <c r="G7" s="197" t="s">
        <v>109</v>
      </c>
      <c r="H7" s="198"/>
      <c r="I7" s="198"/>
      <c r="J7" s="198"/>
      <c r="K7" s="256"/>
      <c r="L7" s="255" t="s">
        <v>11</v>
      </c>
      <c r="M7" s="198"/>
      <c r="N7" s="198"/>
      <c r="O7" s="198"/>
      <c r="P7" s="198"/>
      <c r="Q7" s="199"/>
      <c r="R7" s="197" t="s">
        <v>108</v>
      </c>
      <c r="S7" s="198"/>
      <c r="T7" s="198"/>
      <c r="U7" s="198"/>
      <c r="V7" s="256"/>
      <c r="W7" s="197" t="s">
        <v>110</v>
      </c>
      <c r="X7" s="198"/>
      <c r="Y7" s="198"/>
      <c r="Z7" s="198"/>
      <c r="AA7" s="199"/>
      <c r="AB7" s="188"/>
      <c r="AC7" s="189"/>
      <c r="AD7" s="189"/>
      <c r="AE7" s="267"/>
      <c r="AF7" s="180"/>
      <c r="AG7" s="1"/>
      <c r="AH7" s="1"/>
      <c r="AI7" s="1"/>
      <c r="AJ7" s="1"/>
    </row>
    <row r="8" spans="1:36" ht="52.5" customHeight="1">
      <c r="A8" s="180"/>
      <c r="B8" s="4" t="s">
        <v>12</v>
      </c>
      <c r="C8" s="195" t="s">
        <v>122</v>
      </c>
      <c r="D8" s="169"/>
      <c r="E8" s="169"/>
      <c r="F8" s="170"/>
      <c r="G8" s="168" t="s">
        <v>124</v>
      </c>
      <c r="H8" s="169"/>
      <c r="I8" s="169"/>
      <c r="J8" s="169"/>
      <c r="K8" s="170"/>
      <c r="L8" s="195" t="s">
        <v>138</v>
      </c>
      <c r="M8" s="169"/>
      <c r="N8" s="169"/>
      <c r="O8" s="169"/>
      <c r="P8" s="169"/>
      <c r="Q8" s="196"/>
      <c r="R8" s="168" t="s">
        <v>113</v>
      </c>
      <c r="S8" s="169"/>
      <c r="T8" s="169"/>
      <c r="U8" s="169"/>
      <c r="V8" s="170"/>
      <c r="W8" s="168" t="s">
        <v>139</v>
      </c>
      <c r="X8" s="169"/>
      <c r="Y8" s="169"/>
      <c r="Z8" s="169"/>
      <c r="AA8" s="170"/>
      <c r="AB8" s="188"/>
      <c r="AC8" s="189"/>
      <c r="AD8" s="189"/>
      <c r="AE8" s="267"/>
      <c r="AF8" s="180"/>
      <c r="AG8" s="1"/>
      <c r="AH8" s="1"/>
      <c r="AI8" s="1"/>
      <c r="AJ8" s="1"/>
    </row>
    <row r="9" spans="1:36" ht="52.5" customHeight="1">
      <c r="A9" s="180"/>
      <c r="B9" s="6" t="s">
        <v>15</v>
      </c>
      <c r="C9" s="255" t="s">
        <v>16</v>
      </c>
      <c r="D9" s="198"/>
      <c r="E9" s="198"/>
      <c r="F9" s="256"/>
      <c r="G9" s="197" t="s">
        <v>114</v>
      </c>
      <c r="H9" s="198"/>
      <c r="I9" s="198"/>
      <c r="J9" s="198"/>
      <c r="K9" s="256"/>
      <c r="L9" s="255" t="s">
        <v>16</v>
      </c>
      <c r="M9" s="198"/>
      <c r="N9" s="198"/>
      <c r="O9" s="198"/>
      <c r="P9" s="198"/>
      <c r="Q9" s="199"/>
      <c r="R9" s="197" t="s">
        <v>114</v>
      </c>
      <c r="S9" s="198"/>
      <c r="T9" s="198"/>
      <c r="U9" s="198"/>
      <c r="V9" s="256"/>
      <c r="W9" s="197" t="s">
        <v>16</v>
      </c>
      <c r="X9" s="198"/>
      <c r="Y9" s="198"/>
      <c r="Z9" s="198"/>
      <c r="AA9" s="199"/>
      <c r="AB9" s="191"/>
      <c r="AC9" s="192"/>
      <c r="AD9" s="192"/>
      <c r="AE9" s="268"/>
      <c r="AF9" s="180"/>
      <c r="AG9" s="1"/>
      <c r="AH9" s="1"/>
      <c r="AI9" s="1"/>
      <c r="AJ9" s="1"/>
    </row>
    <row r="10" spans="1:36" ht="151.5" customHeight="1">
      <c r="A10" s="180"/>
      <c r="B10" s="144" t="s">
        <v>17</v>
      </c>
      <c r="C10" s="147" t="s">
        <v>18</v>
      </c>
      <c r="D10" s="145" t="s">
        <v>18</v>
      </c>
      <c r="E10" s="145" t="s">
        <v>19</v>
      </c>
      <c r="F10" s="146" t="s">
        <v>83</v>
      </c>
      <c r="G10" s="147" t="s">
        <v>19</v>
      </c>
      <c r="H10" s="145" t="s">
        <v>83</v>
      </c>
      <c r="I10" s="145" t="s">
        <v>18</v>
      </c>
      <c r="J10" s="145" t="s">
        <v>83</v>
      </c>
      <c r="K10" s="146" t="s">
        <v>19</v>
      </c>
      <c r="L10" s="158" t="s">
        <v>18</v>
      </c>
      <c r="M10" s="145" t="s">
        <v>18</v>
      </c>
      <c r="N10" s="145" t="s">
        <v>19</v>
      </c>
      <c r="O10" s="145" t="s">
        <v>19</v>
      </c>
      <c r="P10" s="145" t="s">
        <v>19</v>
      </c>
      <c r="Q10" s="148" t="s">
        <v>83</v>
      </c>
      <c r="R10" s="147" t="s">
        <v>18</v>
      </c>
      <c r="S10" s="145" t="s">
        <v>19</v>
      </c>
      <c r="T10" s="145" t="s">
        <v>19</v>
      </c>
      <c r="U10" s="145" t="s">
        <v>19</v>
      </c>
      <c r="V10" s="146" t="s">
        <v>18</v>
      </c>
      <c r="W10" s="147" t="s">
        <v>18</v>
      </c>
      <c r="X10" s="145" t="s">
        <v>19</v>
      </c>
      <c r="Y10" s="145" t="s">
        <v>19</v>
      </c>
      <c r="Z10" s="145" t="s">
        <v>19</v>
      </c>
      <c r="AA10" s="146" t="s">
        <v>83</v>
      </c>
      <c r="AB10" s="200" t="s">
        <v>20</v>
      </c>
      <c r="AC10" s="202" t="s">
        <v>21</v>
      </c>
      <c r="AD10" s="206" t="s">
        <v>22</v>
      </c>
      <c r="AE10" s="269" t="s">
        <v>23</v>
      </c>
      <c r="AF10" s="180"/>
      <c r="AG10" s="1"/>
      <c r="AH10" s="1"/>
      <c r="AI10" s="1"/>
      <c r="AJ10" s="1"/>
    </row>
    <row r="11" spans="1:36" ht="24" customHeight="1">
      <c r="A11" s="181"/>
      <c r="B11" s="149" t="s">
        <v>24</v>
      </c>
      <c r="C11" s="150" t="s">
        <v>25</v>
      </c>
      <c r="D11" s="151" t="s">
        <v>26</v>
      </c>
      <c r="E11" s="151" t="s">
        <v>27</v>
      </c>
      <c r="F11" s="161" t="s">
        <v>28</v>
      </c>
      <c r="G11" s="150" t="s">
        <v>29</v>
      </c>
      <c r="H11" s="151" t="s">
        <v>30</v>
      </c>
      <c r="I11" s="151" t="s">
        <v>31</v>
      </c>
      <c r="J11" s="151" t="s">
        <v>84</v>
      </c>
      <c r="K11" s="161" t="s">
        <v>85</v>
      </c>
      <c r="L11" s="162" t="s">
        <v>86</v>
      </c>
      <c r="M11" s="151" t="s">
        <v>87</v>
      </c>
      <c r="N11" s="151" t="s">
        <v>88</v>
      </c>
      <c r="O11" s="151" t="s">
        <v>89</v>
      </c>
      <c r="P11" s="151" t="s">
        <v>90</v>
      </c>
      <c r="Q11" s="163" t="s">
        <v>91</v>
      </c>
      <c r="R11" s="150" t="s">
        <v>92</v>
      </c>
      <c r="S11" s="151" t="s">
        <v>93</v>
      </c>
      <c r="T11" s="151" t="s">
        <v>94</v>
      </c>
      <c r="U11" s="151" t="s">
        <v>95</v>
      </c>
      <c r="V11" s="161" t="s">
        <v>96</v>
      </c>
      <c r="W11" s="150" t="s">
        <v>97</v>
      </c>
      <c r="X11" s="151" t="s">
        <v>98</v>
      </c>
      <c r="Y11" s="151" t="s">
        <v>99</v>
      </c>
      <c r="Z11" s="151" t="s">
        <v>100</v>
      </c>
      <c r="AA11" s="161" t="s">
        <v>125</v>
      </c>
      <c r="AB11" s="201"/>
      <c r="AC11" s="203"/>
      <c r="AD11" s="201"/>
      <c r="AE11" s="203"/>
      <c r="AF11" s="181"/>
      <c r="AG11" s="1"/>
      <c r="AH11" s="1"/>
      <c r="AI11" s="1"/>
      <c r="AJ11" s="1"/>
    </row>
    <row r="12" spans="1:36" ht="19.5" customHeight="1">
      <c r="A12" s="14">
        <v>1</v>
      </c>
      <c r="B12" s="46" t="s">
        <v>146</v>
      </c>
      <c r="C12" s="106">
        <v>3</v>
      </c>
      <c r="D12" s="41">
        <v>3</v>
      </c>
      <c r="E12" s="41">
        <v>3</v>
      </c>
      <c r="F12" s="43">
        <v>3</v>
      </c>
      <c r="G12" s="106">
        <v>3</v>
      </c>
      <c r="H12" s="41">
        <v>3</v>
      </c>
      <c r="I12" s="41">
        <v>1</v>
      </c>
      <c r="J12" s="41">
        <v>3</v>
      </c>
      <c r="K12" s="43">
        <v>1</v>
      </c>
      <c r="L12" s="40">
        <v>3</v>
      </c>
      <c r="M12" s="41">
        <v>3</v>
      </c>
      <c r="N12" s="41">
        <v>3</v>
      </c>
      <c r="O12" s="41">
        <v>3</v>
      </c>
      <c r="P12" s="41">
        <v>3</v>
      </c>
      <c r="Q12" s="42">
        <v>3</v>
      </c>
      <c r="R12" s="106">
        <v>3</v>
      </c>
      <c r="S12" s="41">
        <v>3</v>
      </c>
      <c r="T12" s="41">
        <v>1</v>
      </c>
      <c r="U12" s="41">
        <v>3</v>
      </c>
      <c r="V12" s="43">
        <v>3</v>
      </c>
      <c r="W12" s="106">
        <v>3</v>
      </c>
      <c r="X12" s="41">
        <v>3</v>
      </c>
      <c r="Y12" s="41">
        <v>3</v>
      </c>
      <c r="Z12" s="41">
        <v>1</v>
      </c>
      <c r="AA12" s="43">
        <v>1</v>
      </c>
      <c r="AB12" s="22">
        <f t="shared" ref="AB12:AB51" si="0">COUNTIF(C12:AA12,3)</f>
        <v>20</v>
      </c>
      <c r="AC12" s="23">
        <f t="shared" ref="AC12:AC51" si="1">COUNTIF(C12:AA12,2)</f>
        <v>0</v>
      </c>
      <c r="AD12" s="24">
        <f t="shared" ref="AD12:AD51" si="2">COUNTIF(C12:AA12,1)</f>
        <v>5</v>
      </c>
      <c r="AE12" s="23">
        <f t="shared" ref="AE12:AE51" si="3">COUNTIF(C12:AA12,0)</f>
        <v>0</v>
      </c>
      <c r="AF12" s="164" t="str">
        <f t="shared" ref="AF12:AF51" si="4">IF(COUNTA(C12:AA12)=0, "",
   IF(COUNTIF(C12:AA12,3)&lt;=6, "Previo al Inicio",
   IF(COUNTIF(C12:AA12,3)&lt;=12, "Inicio",
   IF(COUNTIF(C12:AA12,3)&lt;=19, "Proceso",
   IF(COUNTIF(C12:AA12,3)&lt;=25, "Logrado", "")))))</f>
        <v>Logrado</v>
      </c>
      <c r="AG12" s="1"/>
      <c r="AH12" s="1"/>
      <c r="AI12" s="1"/>
      <c r="AJ12" s="1"/>
    </row>
    <row r="13" spans="1:36" ht="19.5" customHeight="1">
      <c r="A13" s="26">
        <v>2</v>
      </c>
      <c r="B13" s="27"/>
      <c r="C13" s="103"/>
      <c r="D13" s="31"/>
      <c r="E13" s="31"/>
      <c r="F13" s="33"/>
      <c r="G13" s="103"/>
      <c r="H13" s="31"/>
      <c r="I13" s="31"/>
      <c r="J13" s="31"/>
      <c r="K13" s="33"/>
      <c r="L13" s="30"/>
      <c r="M13" s="31"/>
      <c r="N13" s="31"/>
      <c r="O13" s="31"/>
      <c r="P13" s="31"/>
      <c r="Q13" s="32"/>
      <c r="R13" s="103"/>
      <c r="S13" s="31"/>
      <c r="T13" s="31"/>
      <c r="U13" s="31"/>
      <c r="V13" s="33"/>
      <c r="W13" s="103"/>
      <c r="X13" s="31"/>
      <c r="Y13" s="31"/>
      <c r="Z13" s="31"/>
      <c r="AA13" s="33"/>
      <c r="AB13" s="34">
        <f t="shared" si="0"/>
        <v>0</v>
      </c>
      <c r="AC13" s="35">
        <f t="shared" si="1"/>
        <v>0</v>
      </c>
      <c r="AD13" s="36">
        <f t="shared" si="2"/>
        <v>0</v>
      </c>
      <c r="AE13" s="35">
        <f t="shared" si="3"/>
        <v>0</v>
      </c>
      <c r="AF13" s="165" t="str">
        <f t="shared" si="4"/>
        <v/>
      </c>
      <c r="AG13" s="1"/>
      <c r="AH13" s="1"/>
      <c r="AI13" s="1"/>
      <c r="AJ13" s="1"/>
    </row>
    <row r="14" spans="1:36" ht="19.5" customHeight="1">
      <c r="A14" s="37">
        <v>3</v>
      </c>
      <c r="B14" s="46"/>
      <c r="C14" s="106"/>
      <c r="D14" s="41"/>
      <c r="E14" s="41"/>
      <c r="F14" s="43"/>
      <c r="G14" s="106"/>
      <c r="H14" s="41"/>
      <c r="I14" s="41"/>
      <c r="J14" s="41"/>
      <c r="K14" s="43"/>
      <c r="L14" s="40"/>
      <c r="M14" s="41"/>
      <c r="N14" s="41"/>
      <c r="O14" s="41"/>
      <c r="P14" s="41"/>
      <c r="Q14" s="42"/>
      <c r="R14" s="106"/>
      <c r="S14" s="41"/>
      <c r="T14" s="41"/>
      <c r="U14" s="41"/>
      <c r="V14" s="43"/>
      <c r="W14" s="106"/>
      <c r="X14" s="41"/>
      <c r="Y14" s="41"/>
      <c r="Z14" s="41"/>
      <c r="AA14" s="43"/>
      <c r="AB14" s="22">
        <f t="shared" si="0"/>
        <v>0</v>
      </c>
      <c r="AC14" s="44">
        <f t="shared" si="1"/>
        <v>0</v>
      </c>
      <c r="AD14" s="45">
        <f t="shared" si="2"/>
        <v>0</v>
      </c>
      <c r="AE14" s="44">
        <f t="shared" si="3"/>
        <v>0</v>
      </c>
      <c r="AF14" s="165" t="str">
        <f t="shared" si="4"/>
        <v/>
      </c>
      <c r="AG14" s="1"/>
      <c r="AH14" s="1"/>
      <c r="AI14" s="1"/>
      <c r="AJ14" s="1"/>
    </row>
    <row r="15" spans="1:36" ht="19.5" customHeight="1">
      <c r="A15" s="26">
        <v>4</v>
      </c>
      <c r="B15" s="27"/>
      <c r="C15" s="103"/>
      <c r="D15" s="31"/>
      <c r="E15" s="31"/>
      <c r="F15" s="33"/>
      <c r="G15" s="103"/>
      <c r="H15" s="31"/>
      <c r="I15" s="31"/>
      <c r="J15" s="31"/>
      <c r="K15" s="33"/>
      <c r="L15" s="30"/>
      <c r="M15" s="31"/>
      <c r="N15" s="31"/>
      <c r="O15" s="31"/>
      <c r="P15" s="31"/>
      <c r="Q15" s="32"/>
      <c r="R15" s="103"/>
      <c r="S15" s="31"/>
      <c r="T15" s="31"/>
      <c r="U15" s="31"/>
      <c r="V15" s="33"/>
      <c r="W15" s="103"/>
      <c r="X15" s="31"/>
      <c r="Y15" s="31"/>
      <c r="Z15" s="31"/>
      <c r="AA15" s="33"/>
      <c r="AB15" s="34">
        <f t="shared" si="0"/>
        <v>0</v>
      </c>
      <c r="AC15" s="35">
        <f t="shared" si="1"/>
        <v>0</v>
      </c>
      <c r="AD15" s="36">
        <f t="shared" si="2"/>
        <v>0</v>
      </c>
      <c r="AE15" s="35">
        <f t="shared" si="3"/>
        <v>0</v>
      </c>
      <c r="AF15" s="165" t="str">
        <f t="shared" si="4"/>
        <v/>
      </c>
      <c r="AG15" s="1"/>
      <c r="AH15" s="1"/>
      <c r="AI15" s="1"/>
      <c r="AJ15" s="1"/>
    </row>
    <row r="16" spans="1:36" ht="19.5" customHeight="1">
      <c r="A16" s="37">
        <v>5</v>
      </c>
      <c r="B16" s="46"/>
      <c r="C16" s="106"/>
      <c r="D16" s="41"/>
      <c r="E16" s="41"/>
      <c r="F16" s="43"/>
      <c r="G16" s="106"/>
      <c r="H16" s="41"/>
      <c r="I16" s="41"/>
      <c r="J16" s="41"/>
      <c r="K16" s="43"/>
      <c r="L16" s="40"/>
      <c r="M16" s="41"/>
      <c r="N16" s="41"/>
      <c r="O16" s="41"/>
      <c r="P16" s="41"/>
      <c r="Q16" s="42"/>
      <c r="R16" s="106"/>
      <c r="S16" s="41"/>
      <c r="T16" s="41"/>
      <c r="U16" s="41"/>
      <c r="V16" s="43"/>
      <c r="W16" s="106"/>
      <c r="X16" s="41"/>
      <c r="Y16" s="41"/>
      <c r="Z16" s="41"/>
      <c r="AA16" s="43"/>
      <c r="AB16" s="22">
        <f t="shared" si="0"/>
        <v>0</v>
      </c>
      <c r="AC16" s="44">
        <f t="shared" si="1"/>
        <v>0</v>
      </c>
      <c r="AD16" s="45">
        <f t="shared" si="2"/>
        <v>0</v>
      </c>
      <c r="AE16" s="44">
        <f t="shared" si="3"/>
        <v>0</v>
      </c>
      <c r="AF16" s="165" t="str">
        <f t="shared" si="4"/>
        <v/>
      </c>
      <c r="AG16" s="1"/>
      <c r="AH16" s="1"/>
      <c r="AI16" s="1"/>
      <c r="AJ16" s="1"/>
    </row>
    <row r="17" spans="1:36" ht="19.5" customHeight="1">
      <c r="A17" s="26">
        <v>6</v>
      </c>
      <c r="B17" s="27"/>
      <c r="C17" s="103"/>
      <c r="D17" s="31"/>
      <c r="E17" s="31"/>
      <c r="F17" s="33"/>
      <c r="G17" s="103"/>
      <c r="H17" s="31"/>
      <c r="I17" s="31"/>
      <c r="J17" s="31"/>
      <c r="K17" s="33"/>
      <c r="L17" s="30"/>
      <c r="M17" s="31"/>
      <c r="N17" s="31"/>
      <c r="O17" s="31"/>
      <c r="P17" s="31"/>
      <c r="Q17" s="32"/>
      <c r="R17" s="103"/>
      <c r="S17" s="31"/>
      <c r="T17" s="31"/>
      <c r="U17" s="31"/>
      <c r="V17" s="33"/>
      <c r="W17" s="103"/>
      <c r="X17" s="31"/>
      <c r="Y17" s="31"/>
      <c r="Z17" s="31"/>
      <c r="AA17" s="33"/>
      <c r="AB17" s="34">
        <f t="shared" si="0"/>
        <v>0</v>
      </c>
      <c r="AC17" s="35">
        <f t="shared" si="1"/>
        <v>0</v>
      </c>
      <c r="AD17" s="36">
        <f t="shared" si="2"/>
        <v>0</v>
      </c>
      <c r="AE17" s="35">
        <f t="shared" si="3"/>
        <v>0</v>
      </c>
      <c r="AF17" s="165" t="str">
        <f t="shared" si="4"/>
        <v/>
      </c>
      <c r="AG17" s="1"/>
      <c r="AH17" s="1"/>
      <c r="AI17" s="1"/>
      <c r="AJ17" s="1"/>
    </row>
    <row r="18" spans="1:36" ht="19.5" customHeight="1">
      <c r="A18" s="37">
        <v>7</v>
      </c>
      <c r="B18" s="46"/>
      <c r="C18" s="106"/>
      <c r="D18" s="41"/>
      <c r="E18" s="41"/>
      <c r="F18" s="43"/>
      <c r="G18" s="106"/>
      <c r="H18" s="41"/>
      <c r="I18" s="41"/>
      <c r="J18" s="41"/>
      <c r="K18" s="43"/>
      <c r="L18" s="40"/>
      <c r="M18" s="41"/>
      <c r="N18" s="41"/>
      <c r="O18" s="41"/>
      <c r="P18" s="41"/>
      <c r="Q18" s="42"/>
      <c r="R18" s="106"/>
      <c r="S18" s="41"/>
      <c r="T18" s="41"/>
      <c r="U18" s="41"/>
      <c r="V18" s="43"/>
      <c r="W18" s="106"/>
      <c r="X18" s="41"/>
      <c r="Y18" s="41"/>
      <c r="Z18" s="41"/>
      <c r="AA18" s="43"/>
      <c r="AB18" s="22">
        <f t="shared" si="0"/>
        <v>0</v>
      </c>
      <c r="AC18" s="44">
        <f t="shared" si="1"/>
        <v>0</v>
      </c>
      <c r="AD18" s="45">
        <f t="shared" si="2"/>
        <v>0</v>
      </c>
      <c r="AE18" s="44">
        <f t="shared" si="3"/>
        <v>0</v>
      </c>
      <c r="AF18" s="165" t="str">
        <f t="shared" si="4"/>
        <v/>
      </c>
      <c r="AG18" s="1"/>
      <c r="AH18" s="1"/>
      <c r="AI18" s="1"/>
      <c r="AJ18" s="1"/>
    </row>
    <row r="19" spans="1:36" ht="19.5" customHeight="1">
      <c r="A19" s="26">
        <v>8</v>
      </c>
      <c r="B19" s="27"/>
      <c r="C19" s="103"/>
      <c r="D19" s="31"/>
      <c r="E19" s="31"/>
      <c r="F19" s="33"/>
      <c r="G19" s="103"/>
      <c r="H19" s="31"/>
      <c r="I19" s="31"/>
      <c r="J19" s="31"/>
      <c r="K19" s="33"/>
      <c r="L19" s="30"/>
      <c r="M19" s="31"/>
      <c r="N19" s="31"/>
      <c r="O19" s="31"/>
      <c r="P19" s="31"/>
      <c r="Q19" s="32"/>
      <c r="R19" s="103"/>
      <c r="S19" s="31"/>
      <c r="T19" s="31"/>
      <c r="U19" s="31"/>
      <c r="V19" s="33"/>
      <c r="W19" s="103"/>
      <c r="X19" s="31"/>
      <c r="Y19" s="31"/>
      <c r="Z19" s="31"/>
      <c r="AA19" s="33"/>
      <c r="AB19" s="34">
        <f t="shared" si="0"/>
        <v>0</v>
      </c>
      <c r="AC19" s="35">
        <f t="shared" si="1"/>
        <v>0</v>
      </c>
      <c r="AD19" s="36">
        <f t="shared" si="2"/>
        <v>0</v>
      </c>
      <c r="AE19" s="35">
        <f t="shared" si="3"/>
        <v>0</v>
      </c>
      <c r="AF19" s="165" t="str">
        <f t="shared" si="4"/>
        <v/>
      </c>
      <c r="AG19" s="1"/>
      <c r="AH19" s="1"/>
      <c r="AI19" s="1"/>
      <c r="AJ19" s="1"/>
    </row>
    <row r="20" spans="1:36" ht="19.5" customHeight="1">
      <c r="A20" s="37">
        <v>9</v>
      </c>
      <c r="B20" s="46"/>
      <c r="C20" s="106"/>
      <c r="D20" s="41"/>
      <c r="E20" s="41"/>
      <c r="F20" s="43"/>
      <c r="G20" s="106"/>
      <c r="H20" s="41"/>
      <c r="I20" s="41"/>
      <c r="J20" s="41"/>
      <c r="K20" s="43"/>
      <c r="L20" s="40"/>
      <c r="M20" s="41"/>
      <c r="N20" s="41"/>
      <c r="O20" s="41"/>
      <c r="P20" s="41"/>
      <c r="Q20" s="42"/>
      <c r="R20" s="106"/>
      <c r="S20" s="41"/>
      <c r="T20" s="41"/>
      <c r="U20" s="41"/>
      <c r="V20" s="43"/>
      <c r="W20" s="106"/>
      <c r="X20" s="41"/>
      <c r="Y20" s="41"/>
      <c r="Z20" s="41"/>
      <c r="AA20" s="43"/>
      <c r="AB20" s="22">
        <f t="shared" si="0"/>
        <v>0</v>
      </c>
      <c r="AC20" s="44">
        <f t="shared" si="1"/>
        <v>0</v>
      </c>
      <c r="AD20" s="45">
        <f t="shared" si="2"/>
        <v>0</v>
      </c>
      <c r="AE20" s="44">
        <f t="shared" si="3"/>
        <v>0</v>
      </c>
      <c r="AF20" s="165" t="str">
        <f t="shared" si="4"/>
        <v/>
      </c>
      <c r="AG20" s="1"/>
      <c r="AH20" s="1"/>
      <c r="AI20" s="1"/>
      <c r="AJ20" s="1"/>
    </row>
    <row r="21" spans="1:36" ht="19.5" customHeight="1">
      <c r="A21" s="26">
        <v>10</v>
      </c>
      <c r="B21" s="27"/>
      <c r="C21" s="103"/>
      <c r="D21" s="31"/>
      <c r="E21" s="31"/>
      <c r="F21" s="33"/>
      <c r="G21" s="103"/>
      <c r="H21" s="31"/>
      <c r="I21" s="31"/>
      <c r="J21" s="31"/>
      <c r="K21" s="33"/>
      <c r="L21" s="30"/>
      <c r="M21" s="31"/>
      <c r="N21" s="31"/>
      <c r="O21" s="31"/>
      <c r="P21" s="31"/>
      <c r="Q21" s="32"/>
      <c r="R21" s="103"/>
      <c r="S21" s="31"/>
      <c r="T21" s="31"/>
      <c r="U21" s="31"/>
      <c r="V21" s="33"/>
      <c r="W21" s="103"/>
      <c r="X21" s="31"/>
      <c r="Y21" s="31"/>
      <c r="Z21" s="31"/>
      <c r="AA21" s="33"/>
      <c r="AB21" s="34">
        <f t="shared" si="0"/>
        <v>0</v>
      </c>
      <c r="AC21" s="35">
        <f t="shared" si="1"/>
        <v>0</v>
      </c>
      <c r="AD21" s="36">
        <f t="shared" si="2"/>
        <v>0</v>
      </c>
      <c r="AE21" s="35">
        <f t="shared" si="3"/>
        <v>0</v>
      </c>
      <c r="AF21" s="165" t="str">
        <f t="shared" si="4"/>
        <v/>
      </c>
      <c r="AG21" s="1"/>
      <c r="AH21" s="1"/>
      <c r="AI21" s="1"/>
      <c r="AJ21" s="1"/>
    </row>
    <row r="22" spans="1:36" ht="19.5" customHeight="1">
      <c r="A22" s="37">
        <v>11</v>
      </c>
      <c r="B22" s="46"/>
      <c r="C22" s="106"/>
      <c r="D22" s="41"/>
      <c r="E22" s="41"/>
      <c r="F22" s="43"/>
      <c r="G22" s="106"/>
      <c r="H22" s="41"/>
      <c r="I22" s="41"/>
      <c r="J22" s="41"/>
      <c r="K22" s="43"/>
      <c r="L22" s="40"/>
      <c r="M22" s="41"/>
      <c r="N22" s="41"/>
      <c r="O22" s="41"/>
      <c r="P22" s="41"/>
      <c r="Q22" s="42"/>
      <c r="R22" s="106"/>
      <c r="S22" s="41"/>
      <c r="T22" s="41"/>
      <c r="U22" s="41"/>
      <c r="V22" s="43"/>
      <c r="W22" s="106"/>
      <c r="X22" s="41"/>
      <c r="Y22" s="41"/>
      <c r="Z22" s="41"/>
      <c r="AA22" s="43"/>
      <c r="AB22" s="22">
        <f t="shared" si="0"/>
        <v>0</v>
      </c>
      <c r="AC22" s="44">
        <f t="shared" si="1"/>
        <v>0</v>
      </c>
      <c r="AD22" s="45">
        <f t="shared" si="2"/>
        <v>0</v>
      </c>
      <c r="AE22" s="44">
        <f t="shared" si="3"/>
        <v>0</v>
      </c>
      <c r="AF22" s="165" t="str">
        <f t="shared" si="4"/>
        <v/>
      </c>
      <c r="AG22" s="1"/>
      <c r="AH22" s="1"/>
      <c r="AI22" s="1"/>
      <c r="AJ22" s="1"/>
    </row>
    <row r="23" spans="1:36" ht="19.5" customHeight="1">
      <c r="A23" s="26">
        <v>12</v>
      </c>
      <c r="B23" s="27"/>
      <c r="C23" s="103"/>
      <c r="D23" s="31"/>
      <c r="E23" s="31"/>
      <c r="F23" s="33"/>
      <c r="G23" s="103"/>
      <c r="H23" s="31"/>
      <c r="I23" s="31"/>
      <c r="J23" s="31"/>
      <c r="K23" s="33"/>
      <c r="L23" s="30"/>
      <c r="M23" s="31"/>
      <c r="N23" s="31"/>
      <c r="O23" s="31"/>
      <c r="P23" s="31"/>
      <c r="Q23" s="32"/>
      <c r="R23" s="103"/>
      <c r="S23" s="31"/>
      <c r="T23" s="31"/>
      <c r="U23" s="31"/>
      <c r="V23" s="33"/>
      <c r="W23" s="103"/>
      <c r="X23" s="31"/>
      <c r="Y23" s="31"/>
      <c r="Z23" s="31"/>
      <c r="AA23" s="33"/>
      <c r="AB23" s="34">
        <f t="shared" si="0"/>
        <v>0</v>
      </c>
      <c r="AC23" s="35">
        <f t="shared" si="1"/>
        <v>0</v>
      </c>
      <c r="AD23" s="36">
        <f t="shared" si="2"/>
        <v>0</v>
      </c>
      <c r="AE23" s="35">
        <f t="shared" si="3"/>
        <v>0</v>
      </c>
      <c r="AF23" s="165" t="str">
        <f t="shared" si="4"/>
        <v/>
      </c>
      <c r="AG23" s="1"/>
      <c r="AH23" s="1"/>
      <c r="AI23" s="1"/>
      <c r="AJ23" s="1"/>
    </row>
    <row r="24" spans="1:36" ht="19.5" customHeight="1">
      <c r="A24" s="37">
        <v>13</v>
      </c>
      <c r="B24" s="46"/>
      <c r="C24" s="106"/>
      <c r="D24" s="41"/>
      <c r="E24" s="41"/>
      <c r="F24" s="43"/>
      <c r="G24" s="106"/>
      <c r="H24" s="41"/>
      <c r="I24" s="41"/>
      <c r="J24" s="41"/>
      <c r="K24" s="43"/>
      <c r="L24" s="40"/>
      <c r="M24" s="41"/>
      <c r="N24" s="41"/>
      <c r="O24" s="41"/>
      <c r="P24" s="41"/>
      <c r="Q24" s="42"/>
      <c r="R24" s="106"/>
      <c r="S24" s="41"/>
      <c r="T24" s="41"/>
      <c r="U24" s="41"/>
      <c r="V24" s="43"/>
      <c r="W24" s="106"/>
      <c r="X24" s="41"/>
      <c r="Y24" s="41"/>
      <c r="Z24" s="41"/>
      <c r="AA24" s="43"/>
      <c r="AB24" s="22">
        <f t="shared" si="0"/>
        <v>0</v>
      </c>
      <c r="AC24" s="44">
        <f t="shared" si="1"/>
        <v>0</v>
      </c>
      <c r="AD24" s="45">
        <f t="shared" si="2"/>
        <v>0</v>
      </c>
      <c r="AE24" s="44">
        <f t="shared" si="3"/>
        <v>0</v>
      </c>
      <c r="AF24" s="165" t="str">
        <f t="shared" si="4"/>
        <v/>
      </c>
      <c r="AG24" s="1"/>
      <c r="AH24" s="1"/>
      <c r="AI24" s="1"/>
      <c r="AJ24" s="1"/>
    </row>
    <row r="25" spans="1:36" ht="19.5" customHeight="1">
      <c r="A25" s="26">
        <v>14</v>
      </c>
      <c r="B25" s="27"/>
      <c r="C25" s="103"/>
      <c r="D25" s="31"/>
      <c r="E25" s="31"/>
      <c r="F25" s="33"/>
      <c r="G25" s="103"/>
      <c r="H25" s="31"/>
      <c r="I25" s="31"/>
      <c r="J25" s="31"/>
      <c r="K25" s="33"/>
      <c r="L25" s="30"/>
      <c r="M25" s="31"/>
      <c r="N25" s="31"/>
      <c r="O25" s="31"/>
      <c r="P25" s="31"/>
      <c r="Q25" s="32"/>
      <c r="R25" s="103"/>
      <c r="S25" s="31"/>
      <c r="T25" s="31"/>
      <c r="U25" s="31"/>
      <c r="V25" s="33"/>
      <c r="W25" s="103"/>
      <c r="X25" s="31"/>
      <c r="Y25" s="31"/>
      <c r="Z25" s="31"/>
      <c r="AA25" s="33"/>
      <c r="AB25" s="34">
        <f t="shared" si="0"/>
        <v>0</v>
      </c>
      <c r="AC25" s="35">
        <f t="shared" si="1"/>
        <v>0</v>
      </c>
      <c r="AD25" s="36">
        <f t="shared" si="2"/>
        <v>0</v>
      </c>
      <c r="AE25" s="35">
        <f t="shared" si="3"/>
        <v>0</v>
      </c>
      <c r="AF25" s="165" t="str">
        <f t="shared" si="4"/>
        <v/>
      </c>
      <c r="AG25" s="1"/>
      <c r="AH25" s="1"/>
      <c r="AI25" s="1"/>
      <c r="AJ25" s="1"/>
    </row>
    <row r="26" spans="1:36" ht="19.5" customHeight="1">
      <c r="A26" s="37">
        <v>15</v>
      </c>
      <c r="B26" s="46"/>
      <c r="C26" s="106"/>
      <c r="D26" s="41"/>
      <c r="E26" s="41"/>
      <c r="F26" s="43"/>
      <c r="G26" s="106"/>
      <c r="H26" s="41"/>
      <c r="I26" s="41"/>
      <c r="J26" s="41"/>
      <c r="K26" s="43"/>
      <c r="L26" s="40"/>
      <c r="M26" s="41"/>
      <c r="N26" s="41"/>
      <c r="O26" s="41"/>
      <c r="P26" s="41"/>
      <c r="Q26" s="42"/>
      <c r="R26" s="106"/>
      <c r="S26" s="41"/>
      <c r="T26" s="41"/>
      <c r="U26" s="41"/>
      <c r="V26" s="43"/>
      <c r="W26" s="106"/>
      <c r="X26" s="41"/>
      <c r="Y26" s="41"/>
      <c r="Z26" s="41"/>
      <c r="AA26" s="43"/>
      <c r="AB26" s="22">
        <f t="shared" si="0"/>
        <v>0</v>
      </c>
      <c r="AC26" s="44">
        <f t="shared" si="1"/>
        <v>0</v>
      </c>
      <c r="AD26" s="45">
        <f t="shared" si="2"/>
        <v>0</v>
      </c>
      <c r="AE26" s="44">
        <f t="shared" si="3"/>
        <v>0</v>
      </c>
      <c r="AF26" s="165" t="str">
        <f t="shared" si="4"/>
        <v/>
      </c>
      <c r="AG26" s="1"/>
      <c r="AH26" s="1"/>
      <c r="AI26" s="1"/>
      <c r="AJ26" s="1"/>
    </row>
    <row r="27" spans="1:36" ht="19.5" customHeight="1">
      <c r="A27" s="26">
        <v>16</v>
      </c>
      <c r="B27" s="27"/>
      <c r="C27" s="103"/>
      <c r="D27" s="31"/>
      <c r="E27" s="31"/>
      <c r="F27" s="33"/>
      <c r="G27" s="103"/>
      <c r="H27" s="31"/>
      <c r="I27" s="31"/>
      <c r="J27" s="31"/>
      <c r="K27" s="33"/>
      <c r="L27" s="30"/>
      <c r="M27" s="31"/>
      <c r="N27" s="31"/>
      <c r="O27" s="31"/>
      <c r="P27" s="31"/>
      <c r="Q27" s="32"/>
      <c r="R27" s="103"/>
      <c r="S27" s="31"/>
      <c r="T27" s="31"/>
      <c r="U27" s="31"/>
      <c r="V27" s="33"/>
      <c r="W27" s="103"/>
      <c r="X27" s="31"/>
      <c r="Y27" s="31"/>
      <c r="Z27" s="31"/>
      <c r="AA27" s="33"/>
      <c r="AB27" s="34">
        <f t="shared" si="0"/>
        <v>0</v>
      </c>
      <c r="AC27" s="35">
        <f t="shared" si="1"/>
        <v>0</v>
      </c>
      <c r="AD27" s="36">
        <f t="shared" si="2"/>
        <v>0</v>
      </c>
      <c r="AE27" s="35">
        <f t="shared" si="3"/>
        <v>0</v>
      </c>
      <c r="AF27" s="165" t="str">
        <f t="shared" si="4"/>
        <v/>
      </c>
      <c r="AG27" s="1"/>
      <c r="AH27" s="1"/>
      <c r="AI27" s="1"/>
      <c r="AJ27" s="1" t="s">
        <v>140</v>
      </c>
    </row>
    <row r="28" spans="1:36" ht="19.5" customHeight="1">
      <c r="A28" s="37">
        <v>17</v>
      </c>
      <c r="B28" s="46"/>
      <c r="C28" s="106"/>
      <c r="D28" s="41"/>
      <c r="E28" s="41"/>
      <c r="F28" s="43"/>
      <c r="G28" s="106"/>
      <c r="H28" s="41"/>
      <c r="I28" s="41"/>
      <c r="J28" s="41"/>
      <c r="K28" s="43"/>
      <c r="L28" s="40"/>
      <c r="M28" s="41"/>
      <c r="N28" s="41"/>
      <c r="O28" s="41"/>
      <c r="P28" s="41"/>
      <c r="Q28" s="42"/>
      <c r="R28" s="106"/>
      <c r="S28" s="41"/>
      <c r="T28" s="41"/>
      <c r="U28" s="41"/>
      <c r="V28" s="43"/>
      <c r="W28" s="106"/>
      <c r="X28" s="41"/>
      <c r="Y28" s="41"/>
      <c r="Z28" s="41"/>
      <c r="AA28" s="43"/>
      <c r="AB28" s="22">
        <f t="shared" si="0"/>
        <v>0</v>
      </c>
      <c r="AC28" s="44">
        <f t="shared" si="1"/>
        <v>0</v>
      </c>
      <c r="AD28" s="45">
        <f t="shared" si="2"/>
        <v>0</v>
      </c>
      <c r="AE28" s="44">
        <f t="shared" si="3"/>
        <v>0</v>
      </c>
      <c r="AF28" s="165" t="str">
        <f t="shared" si="4"/>
        <v/>
      </c>
      <c r="AG28" s="1"/>
      <c r="AH28" s="1"/>
      <c r="AI28" s="1"/>
      <c r="AJ28" s="1"/>
    </row>
    <row r="29" spans="1:36" ht="19.5" customHeight="1">
      <c r="A29" s="26">
        <v>18</v>
      </c>
      <c r="B29" s="27"/>
      <c r="C29" s="103"/>
      <c r="D29" s="31"/>
      <c r="E29" s="31"/>
      <c r="F29" s="33"/>
      <c r="G29" s="103"/>
      <c r="H29" s="31"/>
      <c r="I29" s="31"/>
      <c r="J29" s="31"/>
      <c r="K29" s="33"/>
      <c r="L29" s="30"/>
      <c r="M29" s="31"/>
      <c r="N29" s="31"/>
      <c r="O29" s="31"/>
      <c r="P29" s="31"/>
      <c r="Q29" s="32"/>
      <c r="R29" s="103"/>
      <c r="S29" s="31"/>
      <c r="T29" s="31"/>
      <c r="U29" s="31"/>
      <c r="V29" s="33"/>
      <c r="W29" s="103"/>
      <c r="X29" s="31"/>
      <c r="Y29" s="31"/>
      <c r="Z29" s="31"/>
      <c r="AA29" s="33"/>
      <c r="AB29" s="34">
        <f t="shared" si="0"/>
        <v>0</v>
      </c>
      <c r="AC29" s="35">
        <f t="shared" si="1"/>
        <v>0</v>
      </c>
      <c r="AD29" s="36">
        <f t="shared" si="2"/>
        <v>0</v>
      </c>
      <c r="AE29" s="35">
        <f t="shared" si="3"/>
        <v>0</v>
      </c>
      <c r="AF29" s="165" t="str">
        <f t="shared" si="4"/>
        <v/>
      </c>
      <c r="AG29" s="1"/>
      <c r="AH29" s="1"/>
      <c r="AI29" s="1"/>
      <c r="AJ29" s="1"/>
    </row>
    <row r="30" spans="1:36" ht="19.5" customHeight="1">
      <c r="A30" s="37">
        <v>19</v>
      </c>
      <c r="B30" s="46"/>
      <c r="C30" s="106"/>
      <c r="D30" s="41"/>
      <c r="E30" s="41"/>
      <c r="F30" s="43"/>
      <c r="G30" s="106"/>
      <c r="H30" s="41"/>
      <c r="I30" s="41"/>
      <c r="J30" s="41"/>
      <c r="K30" s="43"/>
      <c r="L30" s="40"/>
      <c r="M30" s="41"/>
      <c r="N30" s="41"/>
      <c r="O30" s="41"/>
      <c r="P30" s="41"/>
      <c r="Q30" s="42"/>
      <c r="R30" s="106"/>
      <c r="S30" s="41"/>
      <c r="T30" s="41"/>
      <c r="U30" s="41"/>
      <c r="V30" s="43"/>
      <c r="W30" s="106"/>
      <c r="X30" s="41"/>
      <c r="Y30" s="41"/>
      <c r="Z30" s="41"/>
      <c r="AA30" s="43"/>
      <c r="AB30" s="22">
        <f t="shared" si="0"/>
        <v>0</v>
      </c>
      <c r="AC30" s="44">
        <f t="shared" si="1"/>
        <v>0</v>
      </c>
      <c r="AD30" s="45">
        <f t="shared" si="2"/>
        <v>0</v>
      </c>
      <c r="AE30" s="44">
        <f t="shared" si="3"/>
        <v>0</v>
      </c>
      <c r="AF30" s="165" t="str">
        <f t="shared" si="4"/>
        <v/>
      </c>
      <c r="AG30" s="1"/>
      <c r="AH30" s="1"/>
      <c r="AI30" s="1"/>
      <c r="AJ30" s="1"/>
    </row>
    <row r="31" spans="1:36" ht="19.5" customHeight="1">
      <c r="A31" s="26">
        <v>20</v>
      </c>
      <c r="B31" s="27"/>
      <c r="C31" s="103"/>
      <c r="D31" s="31"/>
      <c r="E31" s="31"/>
      <c r="F31" s="33"/>
      <c r="G31" s="103"/>
      <c r="H31" s="31"/>
      <c r="I31" s="31"/>
      <c r="J31" s="31"/>
      <c r="K31" s="33"/>
      <c r="L31" s="30"/>
      <c r="M31" s="31"/>
      <c r="N31" s="31"/>
      <c r="O31" s="31"/>
      <c r="P31" s="31"/>
      <c r="Q31" s="32"/>
      <c r="R31" s="103"/>
      <c r="S31" s="31"/>
      <c r="T31" s="31"/>
      <c r="U31" s="31"/>
      <c r="V31" s="33"/>
      <c r="W31" s="103"/>
      <c r="X31" s="31"/>
      <c r="Y31" s="31"/>
      <c r="Z31" s="31"/>
      <c r="AA31" s="33"/>
      <c r="AB31" s="34">
        <f t="shared" si="0"/>
        <v>0</v>
      </c>
      <c r="AC31" s="35">
        <f t="shared" si="1"/>
        <v>0</v>
      </c>
      <c r="AD31" s="36">
        <f t="shared" si="2"/>
        <v>0</v>
      </c>
      <c r="AE31" s="35">
        <f t="shared" si="3"/>
        <v>0</v>
      </c>
      <c r="AF31" s="165" t="str">
        <f t="shared" si="4"/>
        <v/>
      </c>
      <c r="AG31" s="1"/>
      <c r="AH31" s="1"/>
      <c r="AI31" s="1"/>
      <c r="AJ31" s="1"/>
    </row>
    <row r="32" spans="1:36" ht="19.5" customHeight="1">
      <c r="A32" s="37">
        <v>21</v>
      </c>
      <c r="B32" s="46"/>
      <c r="C32" s="106"/>
      <c r="D32" s="41"/>
      <c r="E32" s="41"/>
      <c r="F32" s="43"/>
      <c r="G32" s="106"/>
      <c r="H32" s="41"/>
      <c r="I32" s="41"/>
      <c r="J32" s="41"/>
      <c r="K32" s="43"/>
      <c r="L32" s="40"/>
      <c r="M32" s="41"/>
      <c r="N32" s="41"/>
      <c r="O32" s="41"/>
      <c r="P32" s="41"/>
      <c r="Q32" s="42"/>
      <c r="R32" s="106"/>
      <c r="S32" s="41"/>
      <c r="T32" s="41"/>
      <c r="U32" s="41"/>
      <c r="V32" s="43"/>
      <c r="W32" s="106"/>
      <c r="X32" s="41"/>
      <c r="Y32" s="41"/>
      <c r="Z32" s="41"/>
      <c r="AA32" s="43"/>
      <c r="AB32" s="22">
        <f t="shared" si="0"/>
        <v>0</v>
      </c>
      <c r="AC32" s="44">
        <f t="shared" si="1"/>
        <v>0</v>
      </c>
      <c r="AD32" s="45">
        <f t="shared" si="2"/>
        <v>0</v>
      </c>
      <c r="AE32" s="44">
        <f t="shared" si="3"/>
        <v>0</v>
      </c>
      <c r="AF32" s="165" t="str">
        <f t="shared" si="4"/>
        <v/>
      </c>
      <c r="AG32" s="1"/>
      <c r="AH32" s="1"/>
      <c r="AI32" s="1"/>
      <c r="AJ32" s="1"/>
    </row>
    <row r="33" spans="1:36" ht="19.5" customHeight="1">
      <c r="A33" s="26">
        <v>22</v>
      </c>
      <c r="B33" s="27"/>
      <c r="C33" s="103"/>
      <c r="D33" s="31"/>
      <c r="E33" s="31"/>
      <c r="F33" s="33"/>
      <c r="G33" s="103"/>
      <c r="H33" s="31"/>
      <c r="I33" s="31"/>
      <c r="J33" s="31"/>
      <c r="K33" s="33"/>
      <c r="L33" s="30"/>
      <c r="M33" s="31"/>
      <c r="N33" s="31"/>
      <c r="O33" s="31"/>
      <c r="P33" s="31"/>
      <c r="Q33" s="32"/>
      <c r="R33" s="103"/>
      <c r="S33" s="31"/>
      <c r="T33" s="31"/>
      <c r="U33" s="31"/>
      <c r="V33" s="33"/>
      <c r="W33" s="103"/>
      <c r="X33" s="31"/>
      <c r="Y33" s="31"/>
      <c r="Z33" s="31"/>
      <c r="AA33" s="33"/>
      <c r="AB33" s="34">
        <f t="shared" si="0"/>
        <v>0</v>
      </c>
      <c r="AC33" s="35">
        <f t="shared" si="1"/>
        <v>0</v>
      </c>
      <c r="AD33" s="36">
        <f t="shared" si="2"/>
        <v>0</v>
      </c>
      <c r="AE33" s="35">
        <f t="shared" si="3"/>
        <v>0</v>
      </c>
      <c r="AF33" s="165" t="str">
        <f t="shared" si="4"/>
        <v/>
      </c>
      <c r="AG33" s="1"/>
      <c r="AH33" s="1"/>
      <c r="AI33" s="1"/>
      <c r="AJ33" s="1"/>
    </row>
    <row r="34" spans="1:36" ht="19.5" customHeight="1">
      <c r="A34" s="37">
        <v>23</v>
      </c>
      <c r="B34" s="46"/>
      <c r="C34" s="106"/>
      <c r="D34" s="41"/>
      <c r="E34" s="41"/>
      <c r="F34" s="43"/>
      <c r="G34" s="106"/>
      <c r="H34" s="41"/>
      <c r="I34" s="41"/>
      <c r="J34" s="41"/>
      <c r="K34" s="43"/>
      <c r="L34" s="40"/>
      <c r="M34" s="41"/>
      <c r="N34" s="41"/>
      <c r="O34" s="41"/>
      <c r="P34" s="41"/>
      <c r="Q34" s="42"/>
      <c r="R34" s="106"/>
      <c r="S34" s="41"/>
      <c r="T34" s="41"/>
      <c r="U34" s="41"/>
      <c r="V34" s="43"/>
      <c r="W34" s="106"/>
      <c r="X34" s="41"/>
      <c r="Y34" s="41"/>
      <c r="Z34" s="41"/>
      <c r="AA34" s="43"/>
      <c r="AB34" s="22">
        <f t="shared" si="0"/>
        <v>0</v>
      </c>
      <c r="AC34" s="44">
        <f t="shared" si="1"/>
        <v>0</v>
      </c>
      <c r="AD34" s="45">
        <f t="shared" si="2"/>
        <v>0</v>
      </c>
      <c r="AE34" s="44">
        <f t="shared" si="3"/>
        <v>0</v>
      </c>
      <c r="AF34" s="165" t="str">
        <f t="shared" si="4"/>
        <v/>
      </c>
      <c r="AG34" s="1"/>
      <c r="AH34" s="1"/>
      <c r="AI34" s="1"/>
      <c r="AJ34" s="1"/>
    </row>
    <row r="35" spans="1:36" ht="19.5" customHeight="1">
      <c r="A35" s="26">
        <v>24</v>
      </c>
      <c r="B35" s="27"/>
      <c r="C35" s="103"/>
      <c r="D35" s="31"/>
      <c r="E35" s="31"/>
      <c r="F35" s="33"/>
      <c r="G35" s="103"/>
      <c r="H35" s="31"/>
      <c r="I35" s="31"/>
      <c r="J35" s="31"/>
      <c r="K35" s="33"/>
      <c r="L35" s="30"/>
      <c r="M35" s="31"/>
      <c r="N35" s="31"/>
      <c r="O35" s="31"/>
      <c r="P35" s="31"/>
      <c r="Q35" s="32"/>
      <c r="R35" s="103"/>
      <c r="S35" s="31"/>
      <c r="T35" s="31"/>
      <c r="U35" s="31"/>
      <c r="V35" s="33"/>
      <c r="W35" s="103"/>
      <c r="X35" s="31"/>
      <c r="Y35" s="31"/>
      <c r="Z35" s="31"/>
      <c r="AA35" s="33"/>
      <c r="AB35" s="34">
        <f t="shared" si="0"/>
        <v>0</v>
      </c>
      <c r="AC35" s="35">
        <f t="shared" si="1"/>
        <v>0</v>
      </c>
      <c r="AD35" s="36">
        <f t="shared" si="2"/>
        <v>0</v>
      </c>
      <c r="AE35" s="35">
        <f t="shared" si="3"/>
        <v>0</v>
      </c>
      <c r="AF35" s="165" t="str">
        <f t="shared" si="4"/>
        <v/>
      </c>
      <c r="AG35" s="1"/>
      <c r="AH35" s="1"/>
      <c r="AI35" s="1"/>
      <c r="AJ35" s="1"/>
    </row>
    <row r="36" spans="1:36" ht="19.5" customHeight="1">
      <c r="A36" s="37">
        <v>25</v>
      </c>
      <c r="B36" s="46"/>
      <c r="C36" s="106"/>
      <c r="D36" s="41"/>
      <c r="E36" s="41"/>
      <c r="F36" s="43"/>
      <c r="G36" s="106"/>
      <c r="H36" s="41"/>
      <c r="I36" s="41"/>
      <c r="J36" s="41"/>
      <c r="K36" s="43"/>
      <c r="L36" s="40"/>
      <c r="M36" s="41"/>
      <c r="N36" s="41"/>
      <c r="O36" s="41"/>
      <c r="P36" s="41"/>
      <c r="Q36" s="42"/>
      <c r="R36" s="106"/>
      <c r="S36" s="41"/>
      <c r="T36" s="41"/>
      <c r="U36" s="41"/>
      <c r="V36" s="43"/>
      <c r="W36" s="106"/>
      <c r="X36" s="41"/>
      <c r="Y36" s="41"/>
      <c r="Z36" s="41"/>
      <c r="AA36" s="43"/>
      <c r="AB36" s="22">
        <f t="shared" si="0"/>
        <v>0</v>
      </c>
      <c r="AC36" s="44">
        <f t="shared" si="1"/>
        <v>0</v>
      </c>
      <c r="AD36" s="45">
        <f t="shared" si="2"/>
        <v>0</v>
      </c>
      <c r="AE36" s="44">
        <f t="shared" si="3"/>
        <v>0</v>
      </c>
      <c r="AF36" s="165" t="str">
        <f t="shared" si="4"/>
        <v/>
      </c>
      <c r="AG36" s="1"/>
      <c r="AH36" s="1"/>
      <c r="AI36" s="1"/>
      <c r="AJ36" s="1"/>
    </row>
    <row r="37" spans="1:36" ht="19.5" customHeight="1">
      <c r="A37" s="26">
        <v>26</v>
      </c>
      <c r="B37" s="27"/>
      <c r="C37" s="103"/>
      <c r="D37" s="31"/>
      <c r="E37" s="31"/>
      <c r="F37" s="33"/>
      <c r="G37" s="103"/>
      <c r="H37" s="31"/>
      <c r="I37" s="31"/>
      <c r="J37" s="31"/>
      <c r="K37" s="33"/>
      <c r="L37" s="30"/>
      <c r="M37" s="31"/>
      <c r="N37" s="31"/>
      <c r="O37" s="31"/>
      <c r="P37" s="31"/>
      <c r="Q37" s="32"/>
      <c r="R37" s="103"/>
      <c r="S37" s="31"/>
      <c r="T37" s="31"/>
      <c r="U37" s="31"/>
      <c r="V37" s="33"/>
      <c r="W37" s="103"/>
      <c r="X37" s="31"/>
      <c r="Y37" s="31"/>
      <c r="Z37" s="31"/>
      <c r="AA37" s="33"/>
      <c r="AB37" s="34">
        <f t="shared" si="0"/>
        <v>0</v>
      </c>
      <c r="AC37" s="35">
        <f t="shared" si="1"/>
        <v>0</v>
      </c>
      <c r="AD37" s="36">
        <f t="shared" si="2"/>
        <v>0</v>
      </c>
      <c r="AE37" s="35">
        <f t="shared" si="3"/>
        <v>0</v>
      </c>
      <c r="AF37" s="165" t="str">
        <f t="shared" si="4"/>
        <v/>
      </c>
      <c r="AG37" s="1"/>
      <c r="AH37" s="1"/>
      <c r="AI37" s="1"/>
      <c r="AJ37" s="1"/>
    </row>
    <row r="38" spans="1:36" ht="19.5" customHeight="1">
      <c r="A38" s="37">
        <v>27</v>
      </c>
      <c r="B38" s="46"/>
      <c r="C38" s="106"/>
      <c r="D38" s="41"/>
      <c r="E38" s="41"/>
      <c r="F38" s="43"/>
      <c r="G38" s="106"/>
      <c r="H38" s="41"/>
      <c r="I38" s="41"/>
      <c r="J38" s="41"/>
      <c r="K38" s="43"/>
      <c r="L38" s="40"/>
      <c r="M38" s="41"/>
      <c r="N38" s="41"/>
      <c r="O38" s="41"/>
      <c r="P38" s="41"/>
      <c r="Q38" s="42"/>
      <c r="R38" s="106"/>
      <c r="S38" s="41"/>
      <c r="T38" s="41"/>
      <c r="U38" s="41"/>
      <c r="V38" s="43"/>
      <c r="W38" s="106"/>
      <c r="X38" s="41"/>
      <c r="Y38" s="41"/>
      <c r="Z38" s="41"/>
      <c r="AA38" s="43"/>
      <c r="AB38" s="22">
        <f t="shared" si="0"/>
        <v>0</v>
      </c>
      <c r="AC38" s="44">
        <f t="shared" si="1"/>
        <v>0</v>
      </c>
      <c r="AD38" s="45">
        <f t="shared" si="2"/>
        <v>0</v>
      </c>
      <c r="AE38" s="44">
        <f t="shared" si="3"/>
        <v>0</v>
      </c>
      <c r="AF38" s="165" t="str">
        <f t="shared" si="4"/>
        <v/>
      </c>
      <c r="AG38" s="1"/>
      <c r="AH38" s="1"/>
      <c r="AI38" s="1"/>
      <c r="AJ38" s="1"/>
    </row>
    <row r="39" spans="1:36" ht="19.5" customHeight="1">
      <c r="A39" s="26">
        <v>28</v>
      </c>
      <c r="B39" s="27"/>
      <c r="C39" s="103"/>
      <c r="D39" s="31"/>
      <c r="E39" s="31"/>
      <c r="F39" s="33"/>
      <c r="G39" s="103"/>
      <c r="H39" s="31"/>
      <c r="I39" s="31"/>
      <c r="J39" s="31"/>
      <c r="K39" s="33"/>
      <c r="L39" s="30"/>
      <c r="M39" s="31"/>
      <c r="N39" s="31"/>
      <c r="O39" s="31"/>
      <c r="P39" s="31"/>
      <c r="Q39" s="32"/>
      <c r="R39" s="103"/>
      <c r="S39" s="31"/>
      <c r="T39" s="31"/>
      <c r="U39" s="31"/>
      <c r="V39" s="33"/>
      <c r="W39" s="103"/>
      <c r="X39" s="31"/>
      <c r="Y39" s="31"/>
      <c r="Z39" s="31"/>
      <c r="AA39" s="33"/>
      <c r="AB39" s="34">
        <f t="shared" si="0"/>
        <v>0</v>
      </c>
      <c r="AC39" s="35">
        <f t="shared" si="1"/>
        <v>0</v>
      </c>
      <c r="AD39" s="36">
        <f t="shared" si="2"/>
        <v>0</v>
      </c>
      <c r="AE39" s="35">
        <f t="shared" si="3"/>
        <v>0</v>
      </c>
      <c r="AF39" s="165" t="str">
        <f t="shared" si="4"/>
        <v/>
      </c>
      <c r="AG39" s="1"/>
      <c r="AH39" s="1"/>
      <c r="AI39" s="1"/>
      <c r="AJ39" s="1"/>
    </row>
    <row r="40" spans="1:36" ht="19.5" customHeight="1">
      <c r="A40" s="37">
        <v>29</v>
      </c>
      <c r="B40" s="46"/>
      <c r="C40" s="106"/>
      <c r="D40" s="41"/>
      <c r="E40" s="41"/>
      <c r="F40" s="43"/>
      <c r="G40" s="106"/>
      <c r="H40" s="41"/>
      <c r="I40" s="41"/>
      <c r="J40" s="41"/>
      <c r="K40" s="43"/>
      <c r="L40" s="40"/>
      <c r="M40" s="41"/>
      <c r="N40" s="41"/>
      <c r="O40" s="41"/>
      <c r="P40" s="41"/>
      <c r="Q40" s="42"/>
      <c r="R40" s="106"/>
      <c r="S40" s="41"/>
      <c r="T40" s="41"/>
      <c r="U40" s="41"/>
      <c r="V40" s="43"/>
      <c r="W40" s="106"/>
      <c r="X40" s="41"/>
      <c r="Y40" s="41"/>
      <c r="Z40" s="41"/>
      <c r="AA40" s="43"/>
      <c r="AB40" s="22">
        <f t="shared" si="0"/>
        <v>0</v>
      </c>
      <c r="AC40" s="44">
        <f t="shared" si="1"/>
        <v>0</v>
      </c>
      <c r="AD40" s="45">
        <f t="shared" si="2"/>
        <v>0</v>
      </c>
      <c r="AE40" s="44">
        <f t="shared" si="3"/>
        <v>0</v>
      </c>
      <c r="AF40" s="165" t="str">
        <f t="shared" si="4"/>
        <v/>
      </c>
      <c r="AG40" s="1"/>
      <c r="AH40" s="1"/>
      <c r="AI40" s="1"/>
      <c r="AJ40" s="1"/>
    </row>
    <row r="41" spans="1:36" ht="19.5" customHeight="1">
      <c r="A41" s="26">
        <v>30</v>
      </c>
      <c r="B41" s="27"/>
      <c r="C41" s="103"/>
      <c r="D41" s="31"/>
      <c r="E41" s="31"/>
      <c r="F41" s="33"/>
      <c r="G41" s="103"/>
      <c r="H41" s="31"/>
      <c r="I41" s="31"/>
      <c r="J41" s="31"/>
      <c r="K41" s="33"/>
      <c r="L41" s="30"/>
      <c r="M41" s="31"/>
      <c r="N41" s="31"/>
      <c r="O41" s="31"/>
      <c r="P41" s="31"/>
      <c r="Q41" s="32"/>
      <c r="R41" s="103"/>
      <c r="S41" s="31"/>
      <c r="T41" s="31"/>
      <c r="U41" s="31"/>
      <c r="V41" s="33"/>
      <c r="W41" s="103"/>
      <c r="X41" s="31"/>
      <c r="Y41" s="31"/>
      <c r="Z41" s="31"/>
      <c r="AA41" s="33"/>
      <c r="AB41" s="34">
        <f t="shared" si="0"/>
        <v>0</v>
      </c>
      <c r="AC41" s="35">
        <f t="shared" si="1"/>
        <v>0</v>
      </c>
      <c r="AD41" s="36">
        <f t="shared" si="2"/>
        <v>0</v>
      </c>
      <c r="AE41" s="35">
        <f t="shared" si="3"/>
        <v>0</v>
      </c>
      <c r="AF41" s="165" t="str">
        <f t="shared" si="4"/>
        <v/>
      </c>
      <c r="AG41" s="1"/>
      <c r="AH41" s="1"/>
      <c r="AI41" s="1"/>
      <c r="AJ41" s="1"/>
    </row>
    <row r="42" spans="1:36" ht="19.5" customHeight="1">
      <c r="A42" s="37">
        <v>31</v>
      </c>
      <c r="B42" s="46"/>
      <c r="C42" s="106"/>
      <c r="D42" s="41"/>
      <c r="E42" s="41"/>
      <c r="F42" s="43"/>
      <c r="G42" s="106"/>
      <c r="H42" s="41"/>
      <c r="I42" s="41"/>
      <c r="J42" s="41"/>
      <c r="K42" s="43"/>
      <c r="L42" s="40"/>
      <c r="M42" s="41"/>
      <c r="N42" s="41"/>
      <c r="O42" s="41"/>
      <c r="P42" s="41"/>
      <c r="Q42" s="42"/>
      <c r="R42" s="106"/>
      <c r="S42" s="41"/>
      <c r="T42" s="41"/>
      <c r="U42" s="41"/>
      <c r="V42" s="43"/>
      <c r="W42" s="106"/>
      <c r="X42" s="41"/>
      <c r="Y42" s="41"/>
      <c r="Z42" s="41"/>
      <c r="AA42" s="43"/>
      <c r="AB42" s="22">
        <f t="shared" si="0"/>
        <v>0</v>
      </c>
      <c r="AC42" s="44">
        <f t="shared" si="1"/>
        <v>0</v>
      </c>
      <c r="AD42" s="45">
        <f t="shared" si="2"/>
        <v>0</v>
      </c>
      <c r="AE42" s="44">
        <f t="shared" si="3"/>
        <v>0</v>
      </c>
      <c r="AF42" s="165" t="str">
        <f t="shared" si="4"/>
        <v/>
      </c>
      <c r="AG42" s="1"/>
      <c r="AH42" s="1"/>
      <c r="AI42" s="1"/>
      <c r="AJ42" s="1"/>
    </row>
    <row r="43" spans="1:36" ht="19.5" customHeight="1">
      <c r="A43" s="26">
        <v>32</v>
      </c>
      <c r="B43" s="27"/>
      <c r="C43" s="103"/>
      <c r="D43" s="31"/>
      <c r="E43" s="31"/>
      <c r="F43" s="33"/>
      <c r="G43" s="103"/>
      <c r="H43" s="31"/>
      <c r="I43" s="31"/>
      <c r="J43" s="31"/>
      <c r="K43" s="33"/>
      <c r="L43" s="30"/>
      <c r="M43" s="31"/>
      <c r="N43" s="31"/>
      <c r="O43" s="31"/>
      <c r="P43" s="31"/>
      <c r="Q43" s="32"/>
      <c r="R43" s="103"/>
      <c r="S43" s="31"/>
      <c r="T43" s="31"/>
      <c r="U43" s="31"/>
      <c r="V43" s="33"/>
      <c r="W43" s="103"/>
      <c r="X43" s="31"/>
      <c r="Y43" s="31"/>
      <c r="Z43" s="31"/>
      <c r="AA43" s="33"/>
      <c r="AB43" s="34">
        <f t="shared" si="0"/>
        <v>0</v>
      </c>
      <c r="AC43" s="35">
        <f t="shared" si="1"/>
        <v>0</v>
      </c>
      <c r="AD43" s="36">
        <f t="shared" si="2"/>
        <v>0</v>
      </c>
      <c r="AE43" s="35">
        <f t="shared" si="3"/>
        <v>0</v>
      </c>
      <c r="AF43" s="165" t="str">
        <f t="shared" si="4"/>
        <v/>
      </c>
      <c r="AG43" s="1"/>
      <c r="AH43" s="1"/>
      <c r="AI43" s="1"/>
      <c r="AJ43" s="1"/>
    </row>
    <row r="44" spans="1:36" ht="19.5" customHeight="1">
      <c r="A44" s="37">
        <v>33</v>
      </c>
      <c r="B44" s="46"/>
      <c r="C44" s="106"/>
      <c r="D44" s="41"/>
      <c r="E44" s="41"/>
      <c r="F44" s="43"/>
      <c r="G44" s="106"/>
      <c r="H44" s="41"/>
      <c r="I44" s="41"/>
      <c r="J44" s="41"/>
      <c r="K44" s="43"/>
      <c r="L44" s="40"/>
      <c r="M44" s="41"/>
      <c r="N44" s="41"/>
      <c r="O44" s="41"/>
      <c r="P44" s="41"/>
      <c r="Q44" s="42"/>
      <c r="R44" s="106"/>
      <c r="S44" s="41"/>
      <c r="T44" s="41"/>
      <c r="U44" s="41"/>
      <c r="V44" s="43"/>
      <c r="W44" s="106"/>
      <c r="X44" s="41"/>
      <c r="Y44" s="41"/>
      <c r="Z44" s="41"/>
      <c r="AA44" s="43"/>
      <c r="AB44" s="22">
        <f t="shared" si="0"/>
        <v>0</v>
      </c>
      <c r="AC44" s="44">
        <f t="shared" si="1"/>
        <v>0</v>
      </c>
      <c r="AD44" s="45">
        <f t="shared" si="2"/>
        <v>0</v>
      </c>
      <c r="AE44" s="44">
        <f t="shared" si="3"/>
        <v>0</v>
      </c>
      <c r="AF44" s="165" t="str">
        <f t="shared" si="4"/>
        <v/>
      </c>
      <c r="AG44" s="1"/>
      <c r="AH44" s="1"/>
      <c r="AI44" s="1"/>
      <c r="AJ44" s="1"/>
    </row>
    <row r="45" spans="1:36" ht="19.5" customHeight="1">
      <c r="A45" s="26">
        <v>34</v>
      </c>
      <c r="B45" s="27"/>
      <c r="C45" s="103"/>
      <c r="D45" s="31"/>
      <c r="E45" s="31"/>
      <c r="F45" s="33"/>
      <c r="G45" s="103"/>
      <c r="H45" s="31"/>
      <c r="I45" s="31"/>
      <c r="J45" s="31"/>
      <c r="K45" s="33"/>
      <c r="L45" s="30"/>
      <c r="M45" s="31"/>
      <c r="N45" s="31"/>
      <c r="O45" s="31"/>
      <c r="P45" s="31"/>
      <c r="Q45" s="32"/>
      <c r="R45" s="103"/>
      <c r="S45" s="31"/>
      <c r="T45" s="31"/>
      <c r="U45" s="31"/>
      <c r="V45" s="33"/>
      <c r="W45" s="103"/>
      <c r="X45" s="31"/>
      <c r="Y45" s="31"/>
      <c r="Z45" s="31"/>
      <c r="AA45" s="33"/>
      <c r="AB45" s="34">
        <f t="shared" si="0"/>
        <v>0</v>
      </c>
      <c r="AC45" s="35">
        <f t="shared" si="1"/>
        <v>0</v>
      </c>
      <c r="AD45" s="36">
        <f t="shared" si="2"/>
        <v>0</v>
      </c>
      <c r="AE45" s="35">
        <f t="shared" si="3"/>
        <v>0</v>
      </c>
      <c r="AF45" s="165" t="str">
        <f t="shared" si="4"/>
        <v/>
      </c>
      <c r="AG45" s="1"/>
      <c r="AH45" s="1"/>
      <c r="AI45" s="1"/>
      <c r="AJ45" s="1"/>
    </row>
    <row r="46" spans="1:36" ht="19.5" customHeight="1">
      <c r="A46" s="37">
        <v>35</v>
      </c>
      <c r="B46" s="46"/>
      <c r="C46" s="106"/>
      <c r="D46" s="41"/>
      <c r="E46" s="41"/>
      <c r="F46" s="43"/>
      <c r="G46" s="106"/>
      <c r="H46" s="41"/>
      <c r="I46" s="41"/>
      <c r="J46" s="41"/>
      <c r="K46" s="43"/>
      <c r="L46" s="40"/>
      <c r="M46" s="41"/>
      <c r="N46" s="41"/>
      <c r="O46" s="41"/>
      <c r="P46" s="41"/>
      <c r="Q46" s="42"/>
      <c r="R46" s="106"/>
      <c r="S46" s="41"/>
      <c r="T46" s="41"/>
      <c r="U46" s="41"/>
      <c r="V46" s="43"/>
      <c r="W46" s="106"/>
      <c r="X46" s="41"/>
      <c r="Y46" s="41"/>
      <c r="Z46" s="41"/>
      <c r="AA46" s="43"/>
      <c r="AB46" s="22">
        <f t="shared" si="0"/>
        <v>0</v>
      </c>
      <c r="AC46" s="44">
        <f t="shared" si="1"/>
        <v>0</v>
      </c>
      <c r="AD46" s="45">
        <f t="shared" si="2"/>
        <v>0</v>
      </c>
      <c r="AE46" s="44">
        <f t="shared" si="3"/>
        <v>0</v>
      </c>
      <c r="AF46" s="165" t="str">
        <f t="shared" si="4"/>
        <v/>
      </c>
      <c r="AG46" s="1"/>
      <c r="AH46" s="1"/>
      <c r="AI46" s="1"/>
      <c r="AJ46" s="1"/>
    </row>
    <row r="47" spans="1:36" ht="19.5" customHeight="1">
      <c r="A47" s="26">
        <v>36</v>
      </c>
      <c r="B47" s="27"/>
      <c r="C47" s="103"/>
      <c r="D47" s="31"/>
      <c r="E47" s="31"/>
      <c r="F47" s="33"/>
      <c r="G47" s="103"/>
      <c r="H47" s="31"/>
      <c r="I47" s="31"/>
      <c r="J47" s="31"/>
      <c r="K47" s="33"/>
      <c r="L47" s="30"/>
      <c r="M47" s="31"/>
      <c r="N47" s="31"/>
      <c r="O47" s="31"/>
      <c r="P47" s="31"/>
      <c r="Q47" s="32"/>
      <c r="R47" s="103"/>
      <c r="S47" s="31"/>
      <c r="T47" s="31"/>
      <c r="U47" s="31"/>
      <c r="V47" s="33"/>
      <c r="W47" s="103"/>
      <c r="X47" s="31"/>
      <c r="Y47" s="31"/>
      <c r="Z47" s="31"/>
      <c r="AA47" s="33"/>
      <c r="AB47" s="34">
        <f t="shared" si="0"/>
        <v>0</v>
      </c>
      <c r="AC47" s="35">
        <f t="shared" si="1"/>
        <v>0</v>
      </c>
      <c r="AD47" s="36">
        <f t="shared" si="2"/>
        <v>0</v>
      </c>
      <c r="AE47" s="35">
        <f t="shared" si="3"/>
        <v>0</v>
      </c>
      <c r="AF47" s="165" t="str">
        <f t="shared" si="4"/>
        <v/>
      </c>
      <c r="AG47" s="1"/>
      <c r="AH47" s="1"/>
      <c r="AI47" s="1"/>
      <c r="AJ47" s="1"/>
    </row>
    <row r="48" spans="1:36" ht="19.5" customHeight="1">
      <c r="A48" s="37">
        <v>37</v>
      </c>
      <c r="B48" s="46"/>
      <c r="C48" s="106"/>
      <c r="D48" s="41"/>
      <c r="E48" s="41"/>
      <c r="F48" s="43"/>
      <c r="G48" s="106"/>
      <c r="H48" s="41"/>
      <c r="I48" s="41"/>
      <c r="J48" s="41"/>
      <c r="K48" s="43"/>
      <c r="L48" s="40"/>
      <c r="M48" s="41"/>
      <c r="N48" s="41"/>
      <c r="O48" s="41"/>
      <c r="P48" s="41"/>
      <c r="Q48" s="42"/>
      <c r="R48" s="106"/>
      <c r="S48" s="41"/>
      <c r="T48" s="41"/>
      <c r="U48" s="41"/>
      <c r="V48" s="43"/>
      <c r="W48" s="106"/>
      <c r="X48" s="41"/>
      <c r="Y48" s="41"/>
      <c r="Z48" s="41"/>
      <c r="AA48" s="43"/>
      <c r="AB48" s="22">
        <f t="shared" si="0"/>
        <v>0</v>
      </c>
      <c r="AC48" s="44">
        <f t="shared" si="1"/>
        <v>0</v>
      </c>
      <c r="AD48" s="45">
        <f t="shared" si="2"/>
        <v>0</v>
      </c>
      <c r="AE48" s="44">
        <f t="shared" si="3"/>
        <v>0</v>
      </c>
      <c r="AF48" s="165" t="str">
        <f t="shared" si="4"/>
        <v/>
      </c>
      <c r="AG48" s="1"/>
      <c r="AH48" s="1"/>
      <c r="AI48" s="1"/>
      <c r="AJ48" s="1"/>
    </row>
    <row r="49" spans="1:36" ht="19.5" customHeight="1">
      <c r="A49" s="26">
        <v>38</v>
      </c>
      <c r="B49" s="27"/>
      <c r="C49" s="103"/>
      <c r="D49" s="31"/>
      <c r="E49" s="31"/>
      <c r="F49" s="33"/>
      <c r="G49" s="103"/>
      <c r="H49" s="31"/>
      <c r="I49" s="31"/>
      <c r="J49" s="31"/>
      <c r="K49" s="33"/>
      <c r="L49" s="30"/>
      <c r="M49" s="31"/>
      <c r="N49" s="31"/>
      <c r="O49" s="31"/>
      <c r="P49" s="31"/>
      <c r="Q49" s="32"/>
      <c r="R49" s="103"/>
      <c r="S49" s="31"/>
      <c r="T49" s="31"/>
      <c r="U49" s="31"/>
      <c r="V49" s="33"/>
      <c r="W49" s="103"/>
      <c r="X49" s="31"/>
      <c r="Y49" s="31"/>
      <c r="Z49" s="31"/>
      <c r="AA49" s="33"/>
      <c r="AB49" s="34">
        <f t="shared" si="0"/>
        <v>0</v>
      </c>
      <c r="AC49" s="35">
        <f t="shared" si="1"/>
        <v>0</v>
      </c>
      <c r="AD49" s="36">
        <f t="shared" si="2"/>
        <v>0</v>
      </c>
      <c r="AE49" s="35">
        <f t="shared" si="3"/>
        <v>0</v>
      </c>
      <c r="AF49" s="165" t="str">
        <f t="shared" si="4"/>
        <v/>
      </c>
      <c r="AG49" s="1"/>
      <c r="AH49" s="1"/>
      <c r="AI49" s="1"/>
      <c r="AJ49" s="1"/>
    </row>
    <row r="50" spans="1:36" ht="19.5" customHeight="1">
      <c r="A50" s="37">
        <v>39</v>
      </c>
      <c r="B50" s="46"/>
      <c r="C50" s="106"/>
      <c r="D50" s="41"/>
      <c r="E50" s="41"/>
      <c r="F50" s="43"/>
      <c r="G50" s="106"/>
      <c r="H50" s="41"/>
      <c r="I50" s="41"/>
      <c r="J50" s="41"/>
      <c r="K50" s="43"/>
      <c r="L50" s="40"/>
      <c r="M50" s="41"/>
      <c r="N50" s="41"/>
      <c r="O50" s="41"/>
      <c r="P50" s="41"/>
      <c r="Q50" s="42"/>
      <c r="R50" s="106"/>
      <c r="S50" s="41"/>
      <c r="T50" s="41"/>
      <c r="U50" s="41"/>
      <c r="V50" s="43"/>
      <c r="W50" s="106"/>
      <c r="X50" s="41"/>
      <c r="Y50" s="41"/>
      <c r="Z50" s="41"/>
      <c r="AA50" s="43"/>
      <c r="AB50" s="22">
        <f t="shared" si="0"/>
        <v>0</v>
      </c>
      <c r="AC50" s="44">
        <f t="shared" si="1"/>
        <v>0</v>
      </c>
      <c r="AD50" s="45">
        <f t="shared" si="2"/>
        <v>0</v>
      </c>
      <c r="AE50" s="44">
        <f t="shared" si="3"/>
        <v>0</v>
      </c>
      <c r="AF50" s="165" t="str">
        <f t="shared" si="4"/>
        <v/>
      </c>
      <c r="AG50" s="1"/>
      <c r="AH50" s="1"/>
      <c r="AI50" s="1"/>
      <c r="AJ50" s="1"/>
    </row>
    <row r="51" spans="1:36" ht="19.5" customHeight="1">
      <c r="A51" s="47">
        <v>40</v>
      </c>
      <c r="B51" s="48"/>
      <c r="C51" s="110"/>
      <c r="D51" s="51"/>
      <c r="E51" s="51"/>
      <c r="F51" s="53"/>
      <c r="G51" s="110"/>
      <c r="H51" s="51"/>
      <c r="I51" s="51"/>
      <c r="J51" s="51"/>
      <c r="K51" s="53"/>
      <c r="L51" s="50"/>
      <c r="M51" s="51"/>
      <c r="N51" s="51"/>
      <c r="O51" s="51"/>
      <c r="P51" s="51"/>
      <c r="Q51" s="52"/>
      <c r="R51" s="110"/>
      <c r="S51" s="51"/>
      <c r="T51" s="51"/>
      <c r="U51" s="51"/>
      <c r="V51" s="53"/>
      <c r="W51" s="110"/>
      <c r="X51" s="51"/>
      <c r="Y51" s="51"/>
      <c r="Z51" s="51"/>
      <c r="AA51" s="53"/>
      <c r="AB51" s="54">
        <f t="shared" si="0"/>
        <v>0</v>
      </c>
      <c r="AC51" s="55">
        <f t="shared" si="1"/>
        <v>0</v>
      </c>
      <c r="AD51" s="56">
        <f t="shared" si="2"/>
        <v>0</v>
      </c>
      <c r="AE51" s="57">
        <f t="shared" si="3"/>
        <v>0</v>
      </c>
      <c r="AF51" s="166" t="str">
        <f t="shared" si="4"/>
        <v/>
      </c>
      <c r="AG51" s="1"/>
      <c r="AH51" s="1"/>
      <c r="AI51" s="1"/>
      <c r="AJ51" s="1"/>
    </row>
    <row r="52" spans="1:36" ht="27" customHeight="1">
      <c r="A52" s="171" t="s">
        <v>53</v>
      </c>
      <c r="B52" s="172"/>
      <c r="C52" s="111" t="s">
        <v>25</v>
      </c>
      <c r="D52" s="111" t="s">
        <v>26</v>
      </c>
      <c r="E52" s="111" t="s">
        <v>27</v>
      </c>
      <c r="F52" s="111" t="s">
        <v>28</v>
      </c>
      <c r="G52" s="111" t="s">
        <v>29</v>
      </c>
      <c r="H52" s="111" t="s">
        <v>30</v>
      </c>
      <c r="I52" s="111" t="s">
        <v>31</v>
      </c>
      <c r="J52" s="111" t="s">
        <v>84</v>
      </c>
      <c r="K52" s="111" t="s">
        <v>85</v>
      </c>
      <c r="L52" s="111" t="s">
        <v>86</v>
      </c>
      <c r="M52" s="111" t="s">
        <v>87</v>
      </c>
      <c r="N52" s="111" t="s">
        <v>88</v>
      </c>
      <c r="O52" s="111" t="s">
        <v>89</v>
      </c>
      <c r="P52" s="111" t="s">
        <v>90</v>
      </c>
      <c r="Q52" s="111" t="s">
        <v>91</v>
      </c>
      <c r="R52" s="111" t="s">
        <v>92</v>
      </c>
      <c r="S52" s="111" t="s">
        <v>93</v>
      </c>
      <c r="T52" s="111" t="s">
        <v>94</v>
      </c>
      <c r="U52" s="111" t="s">
        <v>95</v>
      </c>
      <c r="V52" s="111" t="s">
        <v>96</v>
      </c>
      <c r="W52" s="111" t="s">
        <v>97</v>
      </c>
      <c r="X52" s="111" t="s">
        <v>98</v>
      </c>
      <c r="Y52" s="111" t="s">
        <v>99</v>
      </c>
      <c r="Z52" s="111" t="s">
        <v>100</v>
      </c>
      <c r="AA52" s="152" t="s">
        <v>125</v>
      </c>
      <c r="AB52" s="1"/>
      <c r="AC52" s="1"/>
      <c r="AD52" s="248" t="s">
        <v>145</v>
      </c>
      <c r="AE52" s="249"/>
      <c r="AF52" s="250"/>
      <c r="AG52" s="1"/>
      <c r="AH52" s="1"/>
      <c r="AI52" s="1"/>
      <c r="AJ52" s="1"/>
    </row>
    <row r="53" spans="1:36" ht="27" customHeight="1">
      <c r="A53" s="239" t="s">
        <v>20</v>
      </c>
      <c r="B53" s="235"/>
      <c r="C53" s="112">
        <f t="shared" ref="C53:AA53" si="5">COUNTIF(C12:C51,3)/COUNTA(C12:C51)*1</f>
        <v>1</v>
      </c>
      <c r="D53" s="112">
        <f t="shared" si="5"/>
        <v>1</v>
      </c>
      <c r="E53" s="112">
        <f t="shared" si="5"/>
        <v>1</v>
      </c>
      <c r="F53" s="112">
        <f t="shared" si="5"/>
        <v>1</v>
      </c>
      <c r="G53" s="112">
        <f t="shared" si="5"/>
        <v>1</v>
      </c>
      <c r="H53" s="112">
        <f t="shared" si="5"/>
        <v>1</v>
      </c>
      <c r="I53" s="112">
        <f t="shared" si="5"/>
        <v>0</v>
      </c>
      <c r="J53" s="112">
        <f t="shared" si="5"/>
        <v>1</v>
      </c>
      <c r="K53" s="112">
        <f t="shared" si="5"/>
        <v>0</v>
      </c>
      <c r="L53" s="112">
        <f t="shared" si="5"/>
        <v>1</v>
      </c>
      <c r="M53" s="112">
        <f t="shared" si="5"/>
        <v>1</v>
      </c>
      <c r="N53" s="112">
        <f t="shared" si="5"/>
        <v>1</v>
      </c>
      <c r="O53" s="112">
        <f t="shared" si="5"/>
        <v>1</v>
      </c>
      <c r="P53" s="112">
        <f t="shared" si="5"/>
        <v>1</v>
      </c>
      <c r="Q53" s="112">
        <f t="shared" si="5"/>
        <v>1</v>
      </c>
      <c r="R53" s="112">
        <f t="shared" si="5"/>
        <v>1</v>
      </c>
      <c r="S53" s="112">
        <f t="shared" si="5"/>
        <v>1</v>
      </c>
      <c r="T53" s="112">
        <f t="shared" si="5"/>
        <v>0</v>
      </c>
      <c r="U53" s="112">
        <f t="shared" si="5"/>
        <v>1</v>
      </c>
      <c r="V53" s="112">
        <f t="shared" si="5"/>
        <v>1</v>
      </c>
      <c r="W53" s="112">
        <f t="shared" si="5"/>
        <v>1</v>
      </c>
      <c r="X53" s="112">
        <f t="shared" si="5"/>
        <v>1</v>
      </c>
      <c r="Y53" s="112">
        <f t="shared" si="5"/>
        <v>1</v>
      </c>
      <c r="Z53" s="112">
        <f t="shared" si="5"/>
        <v>0</v>
      </c>
      <c r="AA53" s="153">
        <f t="shared" si="5"/>
        <v>0</v>
      </c>
      <c r="AB53" s="1"/>
      <c r="AC53" s="1"/>
      <c r="AD53" s="212" t="s">
        <v>55</v>
      </c>
      <c r="AE53" s="213"/>
      <c r="AF53" s="217" t="s">
        <v>4</v>
      </c>
      <c r="AG53" s="221"/>
      <c r="AH53" s="61"/>
      <c r="AI53" s="1"/>
      <c r="AJ53" s="1"/>
    </row>
    <row r="54" spans="1:36" ht="27" customHeight="1">
      <c r="A54" s="240" t="s">
        <v>21</v>
      </c>
      <c r="B54" s="235"/>
      <c r="C54" s="113">
        <f t="shared" ref="C54:AA54" si="6">COUNTIF(C13:C52,2)/COUNTA(C13:C52)*1</f>
        <v>0</v>
      </c>
      <c r="D54" s="113">
        <f t="shared" si="6"/>
        <v>0</v>
      </c>
      <c r="E54" s="113">
        <f t="shared" si="6"/>
        <v>0</v>
      </c>
      <c r="F54" s="113">
        <f t="shared" si="6"/>
        <v>0</v>
      </c>
      <c r="G54" s="113">
        <f t="shared" si="6"/>
        <v>0</v>
      </c>
      <c r="H54" s="113">
        <f t="shared" si="6"/>
        <v>0</v>
      </c>
      <c r="I54" s="113">
        <f t="shared" si="6"/>
        <v>0</v>
      </c>
      <c r="J54" s="113">
        <f t="shared" si="6"/>
        <v>0</v>
      </c>
      <c r="K54" s="113">
        <f t="shared" si="6"/>
        <v>0</v>
      </c>
      <c r="L54" s="113">
        <f t="shared" si="6"/>
        <v>0</v>
      </c>
      <c r="M54" s="113">
        <f t="shared" si="6"/>
        <v>0</v>
      </c>
      <c r="N54" s="113">
        <f t="shared" si="6"/>
        <v>0</v>
      </c>
      <c r="O54" s="113">
        <f t="shared" si="6"/>
        <v>0</v>
      </c>
      <c r="P54" s="113">
        <f t="shared" si="6"/>
        <v>0</v>
      </c>
      <c r="Q54" s="113">
        <f t="shared" si="6"/>
        <v>0</v>
      </c>
      <c r="R54" s="113">
        <f t="shared" si="6"/>
        <v>0</v>
      </c>
      <c r="S54" s="113">
        <f t="shared" si="6"/>
        <v>0</v>
      </c>
      <c r="T54" s="113">
        <f t="shared" si="6"/>
        <v>0</v>
      </c>
      <c r="U54" s="113">
        <f t="shared" si="6"/>
        <v>0</v>
      </c>
      <c r="V54" s="113">
        <f t="shared" si="6"/>
        <v>0</v>
      </c>
      <c r="W54" s="113">
        <f t="shared" si="6"/>
        <v>0</v>
      </c>
      <c r="X54" s="113">
        <f t="shared" si="6"/>
        <v>0</v>
      </c>
      <c r="Y54" s="113">
        <f t="shared" si="6"/>
        <v>0</v>
      </c>
      <c r="Z54" s="113">
        <f t="shared" si="6"/>
        <v>0</v>
      </c>
      <c r="AA54" s="154">
        <f t="shared" si="6"/>
        <v>0</v>
      </c>
      <c r="AB54" s="1"/>
      <c r="AC54" s="1"/>
      <c r="AD54" s="214"/>
      <c r="AE54" s="190"/>
      <c r="AF54" s="218"/>
      <c r="AG54" s="189"/>
      <c r="AH54" s="61"/>
      <c r="AI54" s="1"/>
      <c r="AJ54" s="1"/>
    </row>
    <row r="55" spans="1:36" ht="26.25" customHeight="1">
      <c r="A55" s="241" t="s">
        <v>22</v>
      </c>
      <c r="B55" s="235"/>
      <c r="C55" s="114">
        <f t="shared" ref="C55:AA55" si="7">COUNTIF(C12:C51,1)/COUNTA(C12:C51)*1</f>
        <v>0</v>
      </c>
      <c r="D55" s="114">
        <f t="shared" si="7"/>
        <v>0</v>
      </c>
      <c r="E55" s="114">
        <f t="shared" si="7"/>
        <v>0</v>
      </c>
      <c r="F55" s="114">
        <f t="shared" si="7"/>
        <v>0</v>
      </c>
      <c r="G55" s="114">
        <f t="shared" si="7"/>
        <v>0</v>
      </c>
      <c r="H55" s="114">
        <f t="shared" si="7"/>
        <v>0</v>
      </c>
      <c r="I55" s="114">
        <f t="shared" si="7"/>
        <v>1</v>
      </c>
      <c r="J55" s="114">
        <f t="shared" si="7"/>
        <v>0</v>
      </c>
      <c r="K55" s="114">
        <f t="shared" si="7"/>
        <v>1</v>
      </c>
      <c r="L55" s="114">
        <f t="shared" si="7"/>
        <v>0</v>
      </c>
      <c r="M55" s="114">
        <f t="shared" si="7"/>
        <v>0</v>
      </c>
      <c r="N55" s="114">
        <f t="shared" si="7"/>
        <v>0</v>
      </c>
      <c r="O55" s="114">
        <f t="shared" si="7"/>
        <v>0</v>
      </c>
      <c r="P55" s="114">
        <f t="shared" si="7"/>
        <v>0</v>
      </c>
      <c r="Q55" s="114">
        <f t="shared" si="7"/>
        <v>0</v>
      </c>
      <c r="R55" s="114">
        <f t="shared" si="7"/>
        <v>0</v>
      </c>
      <c r="S55" s="114">
        <f t="shared" si="7"/>
        <v>0</v>
      </c>
      <c r="T55" s="114">
        <f t="shared" si="7"/>
        <v>1</v>
      </c>
      <c r="U55" s="114">
        <f t="shared" si="7"/>
        <v>0</v>
      </c>
      <c r="V55" s="114">
        <f t="shared" si="7"/>
        <v>0</v>
      </c>
      <c r="W55" s="114">
        <f t="shared" si="7"/>
        <v>0</v>
      </c>
      <c r="X55" s="114">
        <f t="shared" si="7"/>
        <v>0</v>
      </c>
      <c r="Y55" s="114">
        <f t="shared" si="7"/>
        <v>0</v>
      </c>
      <c r="Z55" s="114">
        <f t="shared" si="7"/>
        <v>1</v>
      </c>
      <c r="AA55" s="155">
        <f t="shared" si="7"/>
        <v>1</v>
      </c>
      <c r="AB55" s="1"/>
      <c r="AC55" s="1"/>
      <c r="AD55" s="215"/>
      <c r="AE55" s="216"/>
      <c r="AF55" s="219"/>
      <c r="AG55" s="189"/>
      <c r="AH55" s="61"/>
      <c r="AI55" s="1"/>
      <c r="AJ55" s="1"/>
    </row>
    <row r="56" spans="1:36" ht="19.5" customHeight="1">
      <c r="A56" s="242" t="s">
        <v>23</v>
      </c>
      <c r="B56" s="235"/>
      <c r="C56" s="115">
        <f t="shared" ref="C56:AA56" si="8">COUNTIF(C12:C51,0)/COUNTA(C12:C51)*1</f>
        <v>0</v>
      </c>
      <c r="D56" s="115">
        <f t="shared" si="8"/>
        <v>0</v>
      </c>
      <c r="E56" s="115">
        <f t="shared" si="8"/>
        <v>0</v>
      </c>
      <c r="F56" s="115">
        <f t="shared" si="8"/>
        <v>0</v>
      </c>
      <c r="G56" s="115">
        <f t="shared" si="8"/>
        <v>0</v>
      </c>
      <c r="H56" s="115">
        <f t="shared" si="8"/>
        <v>0</v>
      </c>
      <c r="I56" s="115">
        <f t="shared" si="8"/>
        <v>0</v>
      </c>
      <c r="J56" s="115">
        <f t="shared" si="8"/>
        <v>0</v>
      </c>
      <c r="K56" s="115">
        <f t="shared" si="8"/>
        <v>0</v>
      </c>
      <c r="L56" s="115">
        <f t="shared" si="8"/>
        <v>0</v>
      </c>
      <c r="M56" s="115">
        <f t="shared" si="8"/>
        <v>0</v>
      </c>
      <c r="N56" s="115">
        <f t="shared" si="8"/>
        <v>0</v>
      </c>
      <c r="O56" s="115">
        <f t="shared" si="8"/>
        <v>0</v>
      </c>
      <c r="P56" s="115">
        <f t="shared" si="8"/>
        <v>0</v>
      </c>
      <c r="Q56" s="115">
        <f t="shared" si="8"/>
        <v>0</v>
      </c>
      <c r="R56" s="115">
        <f t="shared" si="8"/>
        <v>0</v>
      </c>
      <c r="S56" s="115">
        <f t="shared" si="8"/>
        <v>0</v>
      </c>
      <c r="T56" s="115">
        <f t="shared" si="8"/>
        <v>0</v>
      </c>
      <c r="U56" s="115">
        <f t="shared" si="8"/>
        <v>0</v>
      </c>
      <c r="V56" s="115">
        <f t="shared" si="8"/>
        <v>0</v>
      </c>
      <c r="W56" s="115">
        <f t="shared" si="8"/>
        <v>0</v>
      </c>
      <c r="X56" s="115">
        <f t="shared" si="8"/>
        <v>0</v>
      </c>
      <c r="Y56" s="115">
        <f t="shared" si="8"/>
        <v>0</v>
      </c>
      <c r="Z56" s="115">
        <f t="shared" si="8"/>
        <v>0</v>
      </c>
      <c r="AA56" s="156">
        <f t="shared" si="8"/>
        <v>0</v>
      </c>
      <c r="AB56" s="1"/>
      <c r="AC56" s="1"/>
      <c r="AD56" s="222" t="s">
        <v>56</v>
      </c>
      <c r="AE56" s="223"/>
      <c r="AF56" s="65">
        <f>COUNTIFS(AF12:AF51,"Logrado")</f>
        <v>1</v>
      </c>
      <c r="AG56" s="1"/>
      <c r="AH56" s="1"/>
      <c r="AI56" s="1"/>
      <c r="AJ56" s="1"/>
    </row>
    <row r="57" spans="1:36" ht="19.5" customHeight="1">
      <c r="A57" s="224" t="s">
        <v>57</v>
      </c>
      <c r="B57" s="225"/>
      <c r="C57" s="116">
        <f t="shared" ref="C57:AA57" si="9">SUM(C53:C56)</f>
        <v>1</v>
      </c>
      <c r="D57" s="116">
        <f t="shared" si="9"/>
        <v>1</v>
      </c>
      <c r="E57" s="116">
        <f t="shared" si="9"/>
        <v>1</v>
      </c>
      <c r="F57" s="116">
        <f t="shared" si="9"/>
        <v>1</v>
      </c>
      <c r="G57" s="116">
        <f t="shared" si="9"/>
        <v>1</v>
      </c>
      <c r="H57" s="116">
        <f t="shared" si="9"/>
        <v>1</v>
      </c>
      <c r="I57" s="116">
        <f t="shared" si="9"/>
        <v>1</v>
      </c>
      <c r="J57" s="116">
        <f t="shared" si="9"/>
        <v>1</v>
      </c>
      <c r="K57" s="116">
        <f t="shared" si="9"/>
        <v>1</v>
      </c>
      <c r="L57" s="116">
        <f t="shared" si="9"/>
        <v>1</v>
      </c>
      <c r="M57" s="116">
        <f t="shared" si="9"/>
        <v>1</v>
      </c>
      <c r="N57" s="116">
        <f t="shared" si="9"/>
        <v>1</v>
      </c>
      <c r="O57" s="116">
        <f t="shared" si="9"/>
        <v>1</v>
      </c>
      <c r="P57" s="116">
        <f t="shared" si="9"/>
        <v>1</v>
      </c>
      <c r="Q57" s="116">
        <f t="shared" si="9"/>
        <v>1</v>
      </c>
      <c r="R57" s="116">
        <f t="shared" si="9"/>
        <v>1</v>
      </c>
      <c r="S57" s="116">
        <f t="shared" si="9"/>
        <v>1</v>
      </c>
      <c r="T57" s="116">
        <f t="shared" si="9"/>
        <v>1</v>
      </c>
      <c r="U57" s="116">
        <f t="shared" si="9"/>
        <v>1</v>
      </c>
      <c r="V57" s="116">
        <f t="shared" si="9"/>
        <v>1</v>
      </c>
      <c r="W57" s="116">
        <f t="shared" si="9"/>
        <v>1</v>
      </c>
      <c r="X57" s="116">
        <f t="shared" si="9"/>
        <v>1</v>
      </c>
      <c r="Y57" s="116">
        <f t="shared" si="9"/>
        <v>1</v>
      </c>
      <c r="Z57" s="116">
        <f t="shared" si="9"/>
        <v>1</v>
      </c>
      <c r="AA57" s="157">
        <f t="shared" si="9"/>
        <v>1</v>
      </c>
      <c r="AB57" s="1"/>
      <c r="AC57" s="1"/>
      <c r="AD57" s="234" t="s">
        <v>58</v>
      </c>
      <c r="AE57" s="235"/>
      <c r="AF57" s="67">
        <f>COUNTIFS(AF12:AF51,"Proceso")</f>
        <v>0</v>
      </c>
      <c r="AG57" s="1"/>
      <c r="AH57" s="1"/>
      <c r="AI57" s="1"/>
      <c r="AJ57" s="1"/>
    </row>
    <row r="58" spans="1:36" ht="19.5" customHeight="1">
      <c r="A58" s="117"/>
      <c r="B58" s="117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"/>
      <c r="AC58" s="1"/>
      <c r="AD58" s="236" t="s">
        <v>59</v>
      </c>
      <c r="AE58" s="237"/>
      <c r="AF58" s="69">
        <f>COUNTIFS(AF11:AF50,"Inicio")</f>
        <v>0</v>
      </c>
      <c r="AG58" s="1"/>
      <c r="AH58" s="1"/>
      <c r="AI58" s="1"/>
      <c r="AJ58" s="1"/>
    </row>
    <row r="59" spans="1:36" ht="19.5" customHeight="1">
      <c r="A59" s="68"/>
      <c r="B59" s="68"/>
      <c r="C59" s="119"/>
      <c r="D59" s="11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54" t="s">
        <v>101</v>
      </c>
      <c r="AE59" s="237"/>
      <c r="AF59" s="69">
        <f>COUNTIFS(AF12:AF51,"Previo al Inicio")</f>
        <v>0</v>
      </c>
      <c r="AG59" s="1"/>
      <c r="AH59" s="1"/>
      <c r="AI59" s="1"/>
      <c r="AJ59" s="1"/>
    </row>
    <row r="60" spans="1:36" ht="34.5" customHeight="1">
      <c r="A60" s="226" t="s">
        <v>60</v>
      </c>
      <c r="B60" s="211"/>
      <c r="C60" s="120" t="str">
        <f t="shared" ref="C60:AA60" si="10">IF(COUNTIF(C12:C51,3)/COUNTA(C12:C51)&lt;=0.25,"Previo al inicio",
   IF(COUNTIF(C12:C51,3)/COUNTA(C12:C51)&lt;=0.5,"Inicio",
   IF(COUNTIF(C12:C51,3)/COUNTA(C12:C51)&lt;=0.75,"Proceso",
   "Logrado")))</f>
        <v>Logrado</v>
      </c>
      <c r="D60" s="122" t="str">
        <f t="shared" si="10"/>
        <v>Logrado</v>
      </c>
      <c r="E60" s="122" t="str">
        <f t="shared" si="10"/>
        <v>Logrado</v>
      </c>
      <c r="F60" s="123" t="str">
        <f t="shared" si="10"/>
        <v>Logrado</v>
      </c>
      <c r="G60" s="121" t="str">
        <f t="shared" si="10"/>
        <v>Logrado</v>
      </c>
      <c r="H60" s="122" t="str">
        <f t="shared" si="10"/>
        <v>Logrado</v>
      </c>
      <c r="I60" s="122" t="str">
        <f t="shared" si="10"/>
        <v>Previo al inicio</v>
      </c>
      <c r="J60" s="122" t="str">
        <f t="shared" si="10"/>
        <v>Logrado</v>
      </c>
      <c r="K60" s="123" t="str">
        <f t="shared" si="10"/>
        <v>Previo al inicio</v>
      </c>
      <c r="L60" s="124" t="str">
        <f t="shared" si="10"/>
        <v>Logrado</v>
      </c>
      <c r="M60" s="125" t="str">
        <f t="shared" si="10"/>
        <v>Logrado</v>
      </c>
      <c r="N60" s="125" t="str">
        <f t="shared" si="10"/>
        <v>Logrado</v>
      </c>
      <c r="O60" s="125" t="str">
        <f t="shared" si="10"/>
        <v>Logrado</v>
      </c>
      <c r="P60" s="125" t="str">
        <f t="shared" si="10"/>
        <v>Logrado</v>
      </c>
      <c r="Q60" s="167" t="str">
        <f t="shared" si="10"/>
        <v>Logrado</v>
      </c>
      <c r="R60" s="126" t="str">
        <f t="shared" si="10"/>
        <v>Logrado</v>
      </c>
      <c r="S60" s="125" t="str">
        <f t="shared" si="10"/>
        <v>Logrado</v>
      </c>
      <c r="T60" s="125" t="str">
        <f t="shared" si="10"/>
        <v>Previo al inicio</v>
      </c>
      <c r="U60" s="125" t="str">
        <f t="shared" si="10"/>
        <v>Logrado</v>
      </c>
      <c r="V60" s="127" t="str">
        <f t="shared" si="10"/>
        <v>Logrado</v>
      </c>
      <c r="W60" s="124" t="str">
        <f t="shared" si="10"/>
        <v>Logrado</v>
      </c>
      <c r="X60" s="125" t="str">
        <f t="shared" si="10"/>
        <v>Logrado</v>
      </c>
      <c r="Y60" s="125" t="str">
        <f t="shared" si="10"/>
        <v>Logrado</v>
      </c>
      <c r="Z60" s="125" t="str">
        <f t="shared" si="10"/>
        <v>Previo al inicio</v>
      </c>
      <c r="AA60" s="128" t="str">
        <f t="shared" si="10"/>
        <v>Previo al inicio</v>
      </c>
      <c r="AB60" s="1"/>
      <c r="AC60" s="1"/>
      <c r="AD60" s="238" t="s">
        <v>61</v>
      </c>
      <c r="AE60" s="211"/>
      <c r="AF60" s="74">
        <f>SUM(AF56:AF59)</f>
        <v>1</v>
      </c>
      <c r="AG60" s="1"/>
      <c r="AH60" s="1"/>
      <c r="AI60" s="1"/>
      <c r="AJ60" s="1"/>
    </row>
    <row r="61" spans="1:36" ht="25.5" customHeight="1">
      <c r="A61" s="228" t="s">
        <v>62</v>
      </c>
      <c r="B61" s="229"/>
      <c r="C61" s="253" t="str">
        <f>IF(SUM(C53:F53)&lt;=100%,"Previo al Inicio",IF(SUM(C53:F53)&lt;=200%,"Inicio",
IF(SUM(C53:F53)&lt;=300%,"Proceso",
"Logrado")))</f>
        <v>Logrado</v>
      </c>
      <c r="D61" s="210"/>
      <c r="E61" s="210"/>
      <c r="F61" s="211"/>
      <c r="G61" s="226" t="str">
        <f>IF(SUM(G53:K53)&lt;=125%,"Previo al Inicio",IF(SUM(G53:K53)&lt;=250%,"Inicio",IF(SUM(G53:K53)&lt;=375%,"Proceso","Logrado")))</f>
        <v>Proceso</v>
      </c>
      <c r="H61" s="210"/>
      <c r="I61" s="210"/>
      <c r="J61" s="210"/>
      <c r="K61" s="211"/>
      <c r="L61" s="253" t="str">
        <f>IF(SUM(L53:Q53)&lt;=150%,"Previo al Inicio",IF(SUM(L53:Q53)&lt;=300%,"Inicio",IF(SUM(L53:Q53)&lt;=450%,"Proceso","Logrado")))</f>
        <v>Logrado</v>
      </c>
      <c r="M61" s="210"/>
      <c r="N61" s="210"/>
      <c r="O61" s="210"/>
      <c r="P61" s="210"/>
      <c r="Q61" s="211"/>
      <c r="R61" s="253" t="str">
        <f>IF(SUM(R53:V53)&lt;=125%,"Previo al Inicio",IF(SUM(R53:V53)&lt;=250%,"Inicio",IF(SUM(R53:V53)&lt;=375%,"Proceso","Logrado")))</f>
        <v>Logrado</v>
      </c>
      <c r="S61" s="210"/>
      <c r="T61" s="210"/>
      <c r="U61" s="210"/>
      <c r="V61" s="211"/>
      <c r="W61" s="226" t="str">
        <f>IF(SUM(W53:AA53)&lt;=125%,"Previo al Inicio",IF(SUM(W53:AA53)&lt;=250%,"Inicio",IF(SUM(W53:AA53)&lt;=375%,"Proceso","Logrado")))</f>
        <v>Proceso</v>
      </c>
      <c r="X61" s="210"/>
      <c r="Y61" s="210"/>
      <c r="Z61" s="210"/>
      <c r="AA61" s="211"/>
      <c r="AB61" s="75"/>
      <c r="AC61" s="75"/>
      <c r="AD61" s="75"/>
      <c r="AE61" s="1"/>
      <c r="AF61" s="1"/>
      <c r="AG61" s="1"/>
      <c r="AH61" s="1"/>
      <c r="AI61" s="1"/>
      <c r="AJ61" s="1"/>
    </row>
    <row r="62" spans="1:3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5.75" customHeight="1">
      <c r="A63" s="1"/>
      <c r="B63" s="1"/>
      <c r="C63" s="1"/>
      <c r="D63" s="1"/>
      <c r="E63" s="1"/>
      <c r="F63" s="1"/>
      <c r="G63" s="1"/>
      <c r="H63" s="1"/>
      <c r="I63" s="13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5.75" customHeight="1">
      <c r="A64" s="1"/>
      <c r="B64" s="220" t="s">
        <v>63</v>
      </c>
      <c r="C64" s="210"/>
      <c r="D64" s="211"/>
      <c r="E64" s="134"/>
      <c r="F64" s="13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5.75" customHeight="1">
      <c r="A65" s="1"/>
      <c r="B65" s="139" t="s">
        <v>20</v>
      </c>
      <c r="C65" s="140" t="s">
        <v>64</v>
      </c>
      <c r="D65" s="78">
        <v>3</v>
      </c>
      <c r="E65" s="135"/>
      <c r="F65" s="13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5.75" customHeight="1">
      <c r="A66" s="1"/>
      <c r="B66" s="139" t="s">
        <v>21</v>
      </c>
      <c r="C66" s="80" t="s">
        <v>65</v>
      </c>
      <c r="D66" s="80">
        <v>2</v>
      </c>
      <c r="E66" s="135"/>
      <c r="F66" s="13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5.75" customHeight="1">
      <c r="A67" s="1"/>
      <c r="B67" s="141" t="s">
        <v>22</v>
      </c>
      <c r="C67" s="142" t="s">
        <v>66</v>
      </c>
      <c r="D67" s="83">
        <v>1</v>
      </c>
      <c r="E67" s="135"/>
      <c r="F67" s="13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5.75" customHeight="1">
      <c r="A68" s="1"/>
      <c r="B68" s="143" t="s">
        <v>23</v>
      </c>
      <c r="C68" s="86" t="s">
        <v>67</v>
      </c>
      <c r="D68" s="86">
        <v>0</v>
      </c>
      <c r="E68" s="135"/>
      <c r="F68" s="13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5.75" customHeight="1"/>
    <row r="83" spans="1:36" ht="15.75" customHeight="1"/>
    <row r="84" spans="1:36" ht="15.75" customHeight="1"/>
    <row r="85" spans="1:36" ht="15.75" customHeight="1"/>
    <row r="86" spans="1:36" ht="15.75" customHeight="1"/>
    <row r="87" spans="1:36" ht="15.75" customHeight="1"/>
    <row r="88" spans="1:36" ht="15.75" customHeight="1"/>
    <row r="89" spans="1:36" ht="15.75" customHeight="1"/>
    <row r="90" spans="1:36" ht="15.75" customHeight="1"/>
    <row r="91" spans="1:36" ht="15.75" customHeight="1"/>
    <row r="92" spans="1:36" ht="15.75" customHeight="1"/>
    <row r="93" spans="1:36" ht="15.75" customHeight="1"/>
    <row r="94" spans="1:36" ht="15.75" customHeight="1"/>
    <row r="95" spans="1:36" ht="15.75" customHeight="1"/>
    <row r="96" spans="1:3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AD52:AF52"/>
    <mergeCell ref="AD53:AE55"/>
    <mergeCell ref="AF53:AF55"/>
    <mergeCell ref="AE10:AE11"/>
    <mergeCell ref="A61:B61"/>
    <mergeCell ref="C61:F61"/>
    <mergeCell ref="AG53:AG55"/>
    <mergeCell ref="AD57:AE57"/>
    <mergeCell ref="AD58:AE58"/>
    <mergeCell ref="AD59:AE59"/>
    <mergeCell ref="AD60:AE60"/>
    <mergeCell ref="AD56:AE56"/>
    <mergeCell ref="A1:AF1"/>
    <mergeCell ref="C3:AF3"/>
    <mergeCell ref="C5:AA5"/>
    <mergeCell ref="AB5:AE9"/>
    <mergeCell ref="AF5:AF11"/>
    <mergeCell ref="W6:AA6"/>
    <mergeCell ref="W8:AA8"/>
    <mergeCell ref="A3:B3"/>
    <mergeCell ref="C7:F7"/>
    <mergeCell ref="C6:F6"/>
    <mergeCell ref="G6:K6"/>
    <mergeCell ref="L6:Q6"/>
    <mergeCell ref="R6:V6"/>
    <mergeCell ref="G7:K7"/>
    <mergeCell ref="L7:Q7"/>
    <mergeCell ref="W7:AA7"/>
    <mergeCell ref="W9:AA9"/>
    <mergeCell ref="AB10:AB11"/>
    <mergeCell ref="AC10:AC11"/>
    <mergeCell ref="AD10:AD11"/>
    <mergeCell ref="B64:D64"/>
    <mergeCell ref="G61:K61"/>
    <mergeCell ref="L61:Q61"/>
    <mergeCell ref="R61:V61"/>
    <mergeCell ref="W61:AA61"/>
    <mergeCell ref="A52:B52"/>
    <mergeCell ref="A53:B53"/>
    <mergeCell ref="A54:B54"/>
    <mergeCell ref="A55:B55"/>
    <mergeCell ref="A56:B56"/>
    <mergeCell ref="A57:B57"/>
    <mergeCell ref="A60:B60"/>
    <mergeCell ref="A5:A11"/>
    <mergeCell ref="C9:F9"/>
    <mergeCell ref="G9:K9"/>
    <mergeCell ref="L9:Q9"/>
    <mergeCell ref="R9:V9"/>
    <mergeCell ref="G8:K8"/>
    <mergeCell ref="L8:Q8"/>
    <mergeCell ref="R8:V8"/>
    <mergeCell ref="R7:V7"/>
    <mergeCell ref="C8:F8"/>
  </mergeCells>
  <conditionalFormatting sqref="C60:AA60 AF12:AF51">
    <cfRule type="expression" dxfId="23" priority="1">
      <formula>C12="Logrado"</formula>
    </cfRule>
  </conditionalFormatting>
  <conditionalFormatting sqref="C60:AA60 AF12:AF51">
    <cfRule type="expression" dxfId="22" priority="2">
      <formula>C12="Proceso"</formula>
    </cfRule>
  </conditionalFormatting>
  <conditionalFormatting sqref="C60:AA60 AF12:AF51">
    <cfRule type="expression" dxfId="21" priority="3">
      <formula>C12="Inicio"</formula>
    </cfRule>
  </conditionalFormatting>
  <conditionalFormatting sqref="C60:AA60 AF12:AF51">
    <cfRule type="expression" dxfId="20" priority="4">
      <formula>C12="Previo al Inicio"</formula>
    </cfRule>
  </conditionalFormatting>
  <conditionalFormatting sqref="C61">
    <cfRule type="expression" dxfId="19" priority="5">
      <formula>C61="Previo al inicio"</formula>
    </cfRule>
  </conditionalFormatting>
  <conditionalFormatting sqref="C61">
    <cfRule type="expression" dxfId="18" priority="6">
      <formula>C61="Inicio"</formula>
    </cfRule>
  </conditionalFormatting>
  <conditionalFormatting sqref="C61">
    <cfRule type="expression" dxfId="17" priority="7">
      <formula>C61="Proceso"</formula>
    </cfRule>
  </conditionalFormatting>
  <conditionalFormatting sqref="C61">
    <cfRule type="expression" dxfId="16" priority="8">
      <formula>C61="Logrado"</formula>
    </cfRule>
  </conditionalFormatting>
  <conditionalFormatting sqref="G61">
    <cfRule type="expression" dxfId="15" priority="9">
      <formula>G61="Previo al inicio"</formula>
    </cfRule>
  </conditionalFormatting>
  <conditionalFormatting sqref="G61">
    <cfRule type="expression" dxfId="14" priority="10">
      <formula>G61="Inicio"</formula>
    </cfRule>
  </conditionalFormatting>
  <conditionalFormatting sqref="G61">
    <cfRule type="expression" dxfId="13" priority="11">
      <formula>G61="Proceso"</formula>
    </cfRule>
  </conditionalFormatting>
  <conditionalFormatting sqref="G61">
    <cfRule type="expression" dxfId="12" priority="12">
      <formula>G61="Logrado"</formula>
    </cfRule>
  </conditionalFormatting>
  <conditionalFormatting sqref="L61">
    <cfRule type="expression" dxfId="11" priority="13">
      <formula>L61="Previo al inicio"</formula>
    </cfRule>
  </conditionalFormatting>
  <conditionalFormatting sqref="L61">
    <cfRule type="expression" dxfId="10" priority="14">
      <formula>L61="Inicio"</formula>
    </cfRule>
  </conditionalFormatting>
  <conditionalFormatting sqref="L61">
    <cfRule type="expression" dxfId="9" priority="15">
      <formula>L61="Proceso"</formula>
    </cfRule>
  </conditionalFormatting>
  <conditionalFormatting sqref="L61">
    <cfRule type="expression" dxfId="8" priority="16">
      <formula>L61="Logrado"</formula>
    </cfRule>
  </conditionalFormatting>
  <conditionalFormatting sqref="R61">
    <cfRule type="expression" dxfId="7" priority="17">
      <formula>R61="Previo al inicio"</formula>
    </cfRule>
  </conditionalFormatting>
  <conditionalFormatting sqref="R61">
    <cfRule type="expression" dxfId="6" priority="18">
      <formula>R61="Inicio"</formula>
    </cfRule>
  </conditionalFormatting>
  <conditionalFormatting sqref="R61">
    <cfRule type="expression" dxfId="5" priority="19">
      <formula>R61="Proceso"</formula>
    </cfRule>
  </conditionalFormatting>
  <conditionalFormatting sqref="R61">
    <cfRule type="expression" dxfId="4" priority="20">
      <formula>R61="Logrado"</formula>
    </cfRule>
  </conditionalFormatting>
  <conditionalFormatting sqref="W61">
    <cfRule type="expression" dxfId="3" priority="21">
      <formula>W61="Previo al inicio"</formula>
    </cfRule>
  </conditionalFormatting>
  <conditionalFormatting sqref="W61">
    <cfRule type="expression" dxfId="2" priority="22">
      <formula>W61="Inicio"</formula>
    </cfRule>
  </conditionalFormatting>
  <conditionalFormatting sqref="W61">
    <cfRule type="expression" dxfId="1" priority="23">
      <formula>W61="Proceso"</formula>
    </cfRule>
  </conditionalFormatting>
  <conditionalFormatting sqref="W61">
    <cfRule type="expression" dxfId="0" priority="24">
      <formula>W61="Logrado"</formula>
    </cfRule>
  </conditionalFormatting>
  <dataValidations count="1">
    <dataValidation type="list" allowBlank="1" showErrorMessage="1" sqref="C12:AA51 D65:D68" xr:uid="{00000000-0002-0000-1A00-000000000000}">
      <formula1>"0,1,2,3"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1° COM.</vt:lpstr>
      <vt:lpstr>2° COM.</vt:lpstr>
      <vt:lpstr>3° COM.</vt:lpstr>
      <vt:lpstr>4° COM.</vt:lpstr>
      <vt:lpstr>5° COM.</vt:lpstr>
      <vt:lpstr>6° COM.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WILFREDO GARCIA QUISPE</cp:lastModifiedBy>
  <dcterms:created xsi:type="dcterms:W3CDTF">2025-03-17T04:12:37Z</dcterms:created>
  <dcterms:modified xsi:type="dcterms:W3CDTF">2026-04-01T21:09:55Z</dcterms:modified>
</cp:coreProperties>
</file>